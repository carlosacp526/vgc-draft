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Usuario\Downloads\preubas\"/>
    </mc:Choice>
  </mc:AlternateContent>
  <xr:revisionPtr revIDLastSave="0" documentId="13_ncr:1_{6882EC35-2BC7-4439-9D6E-68A581E0FED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sultados" sheetId="1" r:id="rId1"/>
    <sheet name="Pokémon Usage" sheetId="2" r:id="rId2"/>
    <sheet name="Hoja3" sheetId="5" r:id="rId3"/>
    <sheet name="dinamica" sheetId="4" r:id="rId4"/>
  </sheets>
  <definedNames>
    <definedName name="_xlnm._FilterDatabase" localSheetId="1" hidden="1">'Pokémon Usage'!$A$1:$B$64</definedName>
  </definedNames>
  <calcPr calcId="191029"/>
  <pivotCaches>
    <pivotCache cacheId="1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3" i="4" l="1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22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178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34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90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2" i="4"/>
</calcChain>
</file>

<file path=xl/sharedStrings.xml><?xml version="1.0" encoding="utf-8"?>
<sst xmlns="http://schemas.openxmlformats.org/spreadsheetml/2006/main" count="658" uniqueCount="171">
  <si>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</si>
  <si>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</si>
  <si>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</si>
  <si>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</si>
  <si>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</si>
  <si>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</si>
  <si>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</si>
  <si>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</si>
  <si>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</si>
  <si>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</si>
  <si>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</si>
  <si>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</si>
  <si>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</si>
  <si>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</si>
  <si>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</si>
  <si>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</si>
  <si>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</si>
  <si>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</si>
  <si>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</si>
  <si>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</si>
  <si>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</si>
  <si>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Kommo-o</t>
  </si>
  <si>
    <t>Kingambit</t>
  </si>
  <si>
    <t>Sneasler</t>
  </si>
  <si>
    <t>Manuel Espiritu</t>
  </si>
  <si>
    <t>Arcanine</t>
  </si>
  <si>
    <t>Gardevoir</t>
  </si>
  <si>
    <t>Tyranitar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</si>
  <si>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</si>
  <si>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</si>
  <si>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</si>
  <si>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</si>
  <si>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</si>
  <si>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</si>
  <si>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</si>
  <si>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</si>
  <si>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</si>
  <si>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</si>
  <si>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</si>
  <si>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</si>
  <si>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</si>
  <si>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</si>
  <si>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</si>
  <si>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</si>
  <si>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</si>
  <si>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</si>
  <si>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</si>
  <si>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</si>
  <si>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</si>
  <si>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</si>
  <si>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</si>
  <si>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</si>
  <si>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</si>
  <si>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</si>
  <si>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</si>
  <si>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</si>
  <si>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</si>
  <si>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</si>
  <si>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</si>
  <si>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</si>
  <si>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</si>
  <si>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</t>
  </si>
  <si>
    <t>Incineroar</t>
  </si>
  <si>
    <t>SChonso17</t>
  </si>
  <si>
    <t>Win FakeoutSD 2-1 WishbornDragons</t>
  </si>
  <si>
    <t>Luis Alonso Coello</t>
  </si>
  <si>
    <t>Talonflame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</si>
  <si>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</si>
  <si>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</si>
  <si>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</si>
  <si>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</si>
  <si>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</si>
  <si>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</si>
  <si>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</si>
  <si>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</si>
  <si>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</si>
  <si>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</si>
  <si>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</si>
  <si>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</si>
  <si>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</si>
  <si>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</si>
  <si>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Kommo-O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</si>
  <si>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</si>
  <si>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</si>
  <si>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</si>
  <si>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</si>
  <si>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</si>
  <si>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</si>
  <si>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</si>
  <si>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</si>
  <si>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Mesquo14</t>
  </si>
  <si>
    <t>Win BZE 2-1 IZP</t>
  </si>
  <si>
    <t>Hanns</t>
  </si>
  <si>
    <t>Jesus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</si>
  <si>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</si>
  <si>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</si>
  <si>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</si>
  <si>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</si>
  <si>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</si>
  <si>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</si>
  <si>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</si>
  <si>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</si>
  <si>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</si>
  <si>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</si>
  <si>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</si>
  <si>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</si>
  <si>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</si>
  <si>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</si>
  <si>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</si>
  <si>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</si>
  <si>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</si>
  <si>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</si>
  <si>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</si>
  <si>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</si>
  <si>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Floette-Eternal</t>
  </si>
  <si>
    <t>Sinitscha</t>
  </si>
  <si>
    <t>Carlos Verastegui</t>
  </si>
  <si>
    <t>Basculegion-Male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</si>
  <si>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</si>
  <si>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</si>
  <si>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</si>
  <si>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</si>
  <si>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</si>
  <si>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</si>
  <si>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</si>
  <si>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</si>
  <si>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</si>
  <si>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</si>
  <si>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</si>
  <si>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</si>
  <si>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</si>
  <si>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</si>
  <si>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</si>
  <si>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</si>
  <si>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</si>
  <si>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</si>
  <si>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</si>
  <si>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Diego Ortiz</t>
  </si>
  <si>
    <t>Typhlosion Hisui</t>
  </si>
  <si>
    <t>Francisco Alca</t>
  </si>
  <si>
    <t>Hydreigon</t>
  </si>
  <si>
    <t>12/05/2026</t>
  </si>
  <si>
    <t>bloodycheese123</t>
  </si>
  <si>
    <t>Poketubi</t>
  </si>
  <si>
    <t>Jorge Baca</t>
  </si>
  <si>
    <t>Ariados</t>
  </si>
  <si>
    <t>Pokémon</t>
  </si>
  <si>
    <t>Veces Usado</t>
  </si>
  <si>
    <t>Week</t>
  </si>
  <si>
    <t>Charizard_Mega_Y</t>
  </si>
  <si>
    <t>ninetales_alola</t>
  </si>
  <si>
    <t>Garchomp mega</t>
  </si>
  <si>
    <t>Tyranitar Mega</t>
  </si>
  <si>
    <t>Gardevoir mega</t>
  </si>
  <si>
    <t>Scovillan mega</t>
  </si>
  <si>
    <t>rotom_wash</t>
  </si>
  <si>
    <t>Gardevoir Mega</t>
  </si>
  <si>
    <t>Venusaur Mega</t>
  </si>
  <si>
    <t>mimikyu-disguised</t>
  </si>
  <si>
    <t>palafin_hero</t>
  </si>
  <si>
    <t>Froslass Mega</t>
  </si>
  <si>
    <t>maushold_family_of_four</t>
  </si>
  <si>
    <t>Kangaskhan mega</t>
  </si>
  <si>
    <t>Aegislash blade</t>
  </si>
  <si>
    <t>Camerupt mega</t>
  </si>
  <si>
    <t>pokemon</t>
  </si>
  <si>
    <t>Etiquetas de fila</t>
  </si>
  <si>
    <t>(en blanco)</t>
  </si>
  <si>
    <t>Total general</t>
  </si>
  <si>
    <t>Cuenta de pokemon</t>
  </si>
  <si>
    <t>Gengar mega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</si>
</sst>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54.692237731484" createdVersion="7" refreshedVersion="7" minRefreshableVersion="3" recordCount="265" xr:uid="{4C8922C4-D533-4821-ABBF-859C40984883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2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"/>
        <s v="Incineroar"/>
        <s v="Talonflame"/>
        <s v="Gardevoir Mega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-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12"/>
  </r>
  <r>
    <x v="13"/>
  </r>
  <r>
    <x v="6"/>
  </r>
  <r>
    <x v="4"/>
  </r>
  <r>
    <x v="4"/>
  </r>
  <r>
    <x v="14"/>
  </r>
  <r>
    <x v="15"/>
  </r>
  <r>
    <x v="2"/>
  </r>
  <r>
    <x v="3"/>
  </r>
  <r>
    <x v="3"/>
  </r>
  <r>
    <x v="16"/>
  </r>
  <r>
    <x v="2"/>
  </r>
  <r>
    <x v="17"/>
  </r>
  <r>
    <x v="4"/>
  </r>
  <r>
    <x v="4"/>
  </r>
  <r>
    <x v="18"/>
  </r>
  <r>
    <x v="3"/>
  </r>
  <r>
    <x v="14"/>
  </r>
  <r>
    <x v="3"/>
  </r>
  <r>
    <x v="0"/>
  </r>
  <r>
    <x v="3"/>
  </r>
  <r>
    <x v="19"/>
  </r>
  <r>
    <x v="19"/>
  </r>
  <r>
    <x v="3"/>
  </r>
  <r>
    <x v="20"/>
  </r>
  <r>
    <x v="16"/>
  </r>
  <r>
    <x v="21"/>
  </r>
  <r>
    <x v="22"/>
  </r>
  <r>
    <x v="23"/>
  </r>
  <r>
    <x v="0"/>
  </r>
  <r>
    <x v="3"/>
  </r>
  <r>
    <x v="24"/>
  </r>
  <r>
    <x v="12"/>
  </r>
  <r>
    <x v="18"/>
  </r>
  <r>
    <x v="14"/>
  </r>
  <r>
    <x v="4"/>
  </r>
  <r>
    <x v="4"/>
  </r>
  <r>
    <x v="25"/>
  </r>
  <r>
    <x v="26"/>
  </r>
  <r>
    <x v="27"/>
  </r>
  <r>
    <x v="28"/>
  </r>
  <r>
    <x v="29"/>
  </r>
  <r>
    <x v="18"/>
  </r>
  <r>
    <x v="29"/>
  </r>
  <r>
    <x v="30"/>
  </r>
  <r>
    <x v="5"/>
  </r>
  <r>
    <x v="26"/>
  </r>
  <r>
    <x v="4"/>
  </r>
  <r>
    <x v="4"/>
  </r>
  <r>
    <x v="0"/>
  </r>
  <r>
    <x v="31"/>
  </r>
  <r>
    <x v="32"/>
  </r>
  <r>
    <x v="33"/>
  </r>
  <r>
    <x v="16"/>
  </r>
  <r>
    <x v="17"/>
  </r>
  <r>
    <x v="18"/>
  </r>
  <r>
    <x v="30"/>
  </r>
  <r>
    <x v="4"/>
  </r>
  <r>
    <x v="4"/>
  </r>
  <r>
    <x v="32"/>
  </r>
  <r>
    <x v="30"/>
  </r>
  <r>
    <x v="10"/>
  </r>
  <r>
    <x v="14"/>
  </r>
  <r>
    <x v="14"/>
  </r>
  <r>
    <x v="18"/>
  </r>
  <r>
    <x v="34"/>
  </r>
  <r>
    <x v="34"/>
  </r>
  <r>
    <x v="0"/>
  </r>
  <r>
    <x v="7"/>
  </r>
  <r>
    <x v="6"/>
  </r>
  <r>
    <x v="14"/>
  </r>
  <r>
    <x v="12"/>
  </r>
  <r>
    <x v="7"/>
  </r>
  <r>
    <x v="3"/>
  </r>
  <r>
    <x v="0"/>
  </r>
  <r>
    <x v="16"/>
  </r>
  <r>
    <x v="19"/>
  </r>
  <r>
    <x v="27"/>
  </r>
  <r>
    <x v="0"/>
  </r>
  <r>
    <x v="4"/>
  </r>
  <r>
    <x v="4"/>
  </r>
  <r>
    <x v="7"/>
  </r>
  <r>
    <x v="24"/>
  </r>
  <r>
    <x v="35"/>
  </r>
  <r>
    <x v="7"/>
  </r>
  <r>
    <x v="11"/>
  </r>
  <r>
    <x v="3"/>
  </r>
  <r>
    <x v="30"/>
  </r>
  <r>
    <x v="7"/>
  </r>
  <r>
    <x v="3"/>
  </r>
  <r>
    <x v="30"/>
  </r>
  <r>
    <x v="4"/>
  </r>
  <r>
    <x v="4"/>
  </r>
  <r>
    <x v="30"/>
  </r>
  <r>
    <x v="36"/>
  </r>
  <r>
    <x v="18"/>
  </r>
  <r>
    <x v="0"/>
  </r>
  <r>
    <x v="30"/>
  </r>
  <r>
    <x v="15"/>
  </r>
  <r>
    <x v="32"/>
  </r>
  <r>
    <x v="15"/>
  </r>
  <r>
    <x v="4"/>
  </r>
  <r>
    <x v="4"/>
  </r>
  <r>
    <x v="37"/>
  </r>
  <r>
    <x v="27"/>
  </r>
  <r>
    <x v="38"/>
  </r>
  <r>
    <x v="16"/>
  </r>
  <r>
    <x v="29"/>
  </r>
  <r>
    <x v="0"/>
  </r>
  <r>
    <x v="30"/>
  </r>
  <r>
    <x v="30"/>
  </r>
  <r>
    <x v="16"/>
  </r>
  <r>
    <x v="39"/>
  </r>
  <r>
    <x v="26"/>
  </r>
  <r>
    <x v="31"/>
  </r>
  <r>
    <x v="10"/>
  </r>
  <r>
    <x v="40"/>
  </r>
  <r>
    <x v="27"/>
  </r>
  <r>
    <x v="41"/>
  </r>
  <r>
    <x v="26"/>
  </r>
  <r>
    <x v="31"/>
  </r>
  <r>
    <x v="32"/>
  </r>
  <r>
    <x v="29"/>
  </r>
  <r>
    <x v="4"/>
  </r>
  <r>
    <x v="4"/>
  </r>
  <r>
    <x v="27"/>
  </r>
  <r>
    <x v="30"/>
  </r>
  <r>
    <x v="16"/>
  </r>
  <r>
    <x v="27"/>
  </r>
  <r>
    <x v="27"/>
  </r>
  <r>
    <x v="42"/>
  </r>
  <r>
    <x v="27"/>
  </r>
  <r>
    <x v="10"/>
  </r>
  <r>
    <x v="29"/>
  </r>
  <r>
    <x v="27"/>
  </r>
  <r>
    <x v="4"/>
  </r>
  <r>
    <x v="4"/>
  </r>
  <r>
    <x v="10"/>
  </r>
  <r>
    <x v="17"/>
  </r>
  <r>
    <x v="43"/>
  </r>
  <r>
    <x v="27"/>
  </r>
  <r>
    <x v="29"/>
  </r>
  <r>
    <x v="35"/>
  </r>
  <r>
    <x v="27"/>
  </r>
  <r>
    <x v="16"/>
  </r>
  <r>
    <x v="4"/>
  </r>
  <r>
    <x v="4"/>
  </r>
  <r>
    <x v="16"/>
  </r>
  <r>
    <x v="10"/>
  </r>
  <r>
    <x v="44"/>
  </r>
  <r>
    <x v="27"/>
  </r>
  <r>
    <x v="27"/>
  </r>
  <r>
    <x v="37"/>
  </r>
  <r>
    <x v="26"/>
  </r>
  <r>
    <x v="10"/>
  </r>
  <r>
    <x v="14"/>
  </r>
  <r>
    <x v="45"/>
  </r>
  <r>
    <x v="30"/>
  </r>
  <r>
    <x v="34"/>
  </r>
  <r>
    <x v="18"/>
  </r>
  <r>
    <x v="46"/>
  </r>
  <r>
    <x v="29"/>
  </r>
  <r>
    <x v="29"/>
  </r>
  <r>
    <x v="30"/>
  </r>
  <r>
    <x v="29"/>
  </r>
  <r>
    <x v="16"/>
  </r>
  <r>
    <x v="16"/>
  </r>
  <r>
    <x v="4"/>
  </r>
  <r>
    <x v="4"/>
  </r>
  <r>
    <x v="47"/>
  </r>
  <r>
    <x v="16"/>
  </r>
  <r>
    <x v="30"/>
  </r>
  <r>
    <x v="25"/>
  </r>
  <r>
    <x v="16"/>
  </r>
  <r>
    <x v="32"/>
  </r>
  <r>
    <x v="16"/>
  </r>
  <r>
    <x v="27"/>
  </r>
  <r>
    <x v="27"/>
  </r>
  <r>
    <x v="16"/>
  </r>
  <r>
    <x v="4"/>
  </r>
  <r>
    <x v="4"/>
  </r>
  <r>
    <x v="29"/>
  </r>
  <r>
    <x v="29"/>
  </r>
  <r>
    <x v="16"/>
  </r>
  <r>
    <x v="16"/>
  </r>
  <r>
    <x v="27"/>
  </r>
  <r>
    <x v="10"/>
  </r>
  <r>
    <x v="16"/>
  </r>
  <r>
    <x v="10"/>
  </r>
  <r>
    <x v="4"/>
  </r>
  <r>
    <x v="4"/>
  </r>
  <r>
    <x v="27"/>
  </r>
  <r>
    <x v="8"/>
  </r>
  <r>
    <x v="46"/>
  </r>
  <r>
    <x v="0"/>
  </r>
  <r>
    <x v="30"/>
  </r>
  <r>
    <x v="27"/>
  </r>
  <r>
    <x v="48"/>
  </r>
  <r>
    <x v="27"/>
  </r>
  <r>
    <x v="29"/>
  </r>
  <r>
    <x v="25"/>
  </r>
  <r>
    <x v="27"/>
  </r>
  <r>
    <x v="10"/>
  </r>
  <r>
    <x v="49"/>
  </r>
  <r>
    <x v="15"/>
  </r>
  <r>
    <x v="14"/>
  </r>
  <r>
    <x v="37"/>
  </r>
  <r>
    <x v="27"/>
  </r>
  <r>
    <x v="48"/>
  </r>
  <r>
    <x v="37"/>
  </r>
  <r>
    <x v="27"/>
  </r>
  <r>
    <x v="4"/>
  </r>
  <r>
    <x v="4"/>
  </r>
  <r>
    <x v="16"/>
  </r>
  <r>
    <x v="37"/>
  </r>
  <r>
    <x v="25"/>
  </r>
  <r>
    <x v="10"/>
  </r>
  <r>
    <x v="46"/>
  </r>
  <r>
    <x v="43"/>
  </r>
  <r>
    <x v="14"/>
  </r>
  <r>
    <x v="16"/>
  </r>
  <r>
    <x v="16"/>
  </r>
  <r>
    <x v="24"/>
  </r>
  <r>
    <x v="4"/>
  </r>
  <r>
    <x v="4"/>
  </r>
  <r>
    <x v="27"/>
  </r>
  <r>
    <x v="10"/>
  </r>
  <r>
    <x v="8"/>
  </r>
  <r>
    <x v="35"/>
  </r>
  <r>
    <x v="13"/>
  </r>
  <r>
    <x v="30"/>
  </r>
  <r>
    <x v="37"/>
  </r>
  <r>
    <x v="35"/>
  </r>
  <r>
    <x v="4"/>
  </r>
  <r>
    <x v="4"/>
  </r>
  <r>
    <x v="2"/>
  </r>
  <r>
    <x v="29"/>
  </r>
  <r>
    <x v="50"/>
  </r>
  <r>
    <x v="29"/>
  </r>
  <r>
    <x v="16"/>
  </r>
  <r>
    <x v="29"/>
  </r>
  <r>
    <x v="27"/>
  </r>
  <r>
    <x v="35"/>
  </r>
  <r>
    <x v="27"/>
  </r>
  <r>
    <x v="27"/>
  </r>
  <r>
    <x v="24"/>
  </r>
  <r>
    <x v="44"/>
  </r>
  <r>
    <x v="32"/>
  </r>
  <r>
    <x v="10"/>
  </r>
  <r>
    <x v="16"/>
  </r>
  <r>
    <x v="27"/>
  </r>
  <r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AC1E4-48DE-47B8-8A9B-F039882C55D7}" name="TablaDinámica2" cacheId="16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56" firstHeaderRow="1" firstDataRow="1" firstDataCol="1"/>
  <pivotFields count="1">
    <pivotField axis="axisRow" dataField="1" showAll="0">
      <items count="53">
        <item x="36"/>
        <item x="0"/>
        <item x="6"/>
        <item x="1"/>
        <item x="25"/>
        <item x="41"/>
        <item x="27"/>
        <item x="20"/>
        <item x="38"/>
        <item x="3"/>
        <item x="48"/>
        <item x="35"/>
        <item x="42"/>
        <item x="34"/>
        <item x="18"/>
        <item x="14"/>
        <item x="33"/>
        <item x="29"/>
        <item x="49"/>
        <item x="9"/>
        <item x="12"/>
        <item x="15"/>
        <item x="43"/>
        <item x="40"/>
        <item x="10"/>
        <item x="2"/>
        <item x="16"/>
        <item x="24"/>
        <item x="46"/>
        <item x="50"/>
        <item x="17"/>
        <item x="23"/>
        <item x="7"/>
        <item x="39"/>
        <item x="31"/>
        <item x="47"/>
        <item x="28"/>
        <item x="26"/>
        <item x="44"/>
        <item x="30"/>
        <item x="45"/>
        <item x="37"/>
        <item x="11"/>
        <item x="32"/>
        <item x="22"/>
        <item x="19"/>
        <item x="21"/>
        <item x="8"/>
        <item x="5"/>
        <item x="13"/>
        <item x="51"/>
        <item x="4"/>
        <item t="default"/>
      </items>
    </pivotField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workbookViewId="0">
      <pane ySplit="1" topLeftCell="A14" activePane="bottomLeft" state="frozen"/>
      <selection pane="bottomLeft" activeCell="J21" sqref="J21"/>
    </sheetView>
  </sheetViews>
  <sheetFormatPr baseColWidth="10" defaultColWidth="9.140625" defaultRowHeight="15" x14ac:dyDescent="0.25"/>
  <cols>
    <col min="1" max="1" width="12" customWidth="1"/>
    <col min="2" max="2" width="16" customWidth="1"/>
    <col min="3" max="3" width="30" customWidth="1"/>
    <col min="4" max="5" width="16" customWidth="1"/>
    <col min="6" max="6" width="25" customWidth="1"/>
    <col min="7" max="7" width="16" customWidth="1"/>
    <col min="8" max="8" width="10" customWidth="1"/>
    <col min="9" max="9" width="6.140625" bestFit="1" customWidth="1"/>
    <col min="10" max="15" width="18" customWidth="1"/>
  </cols>
  <sheetData>
    <row r="1" spans="1:15" ht="35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148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25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17</v>
      </c>
      <c r="H2" s="3">
        <v>2</v>
      </c>
      <c r="I2" s="3">
        <v>2</v>
      </c>
      <c r="J2" s="2" t="s">
        <v>20</v>
      </c>
      <c r="K2" s="2" t="s">
        <v>21</v>
      </c>
      <c r="L2" s="2" t="s">
        <v>22</v>
      </c>
      <c r="M2" s="5" t="s">
        <v>154</v>
      </c>
      <c r="N2" s="2" t="s">
        <v>23</v>
      </c>
      <c r="O2" s="5" t="s">
        <v>117</v>
      </c>
    </row>
    <row r="3" spans="1:15" x14ac:dyDescent="0.25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24</v>
      </c>
      <c r="G3" s="2" t="s">
        <v>18</v>
      </c>
      <c r="H3" s="4">
        <v>0</v>
      </c>
      <c r="I3" s="3">
        <v>2</v>
      </c>
      <c r="J3" s="2" t="s">
        <v>25</v>
      </c>
      <c r="K3" s="2" t="s">
        <v>153</v>
      </c>
      <c r="L3" s="2" t="s">
        <v>27</v>
      </c>
      <c r="M3" s="5" t="s">
        <v>155</v>
      </c>
      <c r="N3" s="2" t="s">
        <v>28</v>
      </c>
      <c r="O3" s="2" t="s">
        <v>29</v>
      </c>
    </row>
    <row r="4" spans="1:15" x14ac:dyDescent="0.25">
      <c r="A4" s="5" t="s">
        <v>14</v>
      </c>
      <c r="B4" s="5" t="s">
        <v>30</v>
      </c>
      <c r="C4" s="5" t="s">
        <v>31</v>
      </c>
      <c r="D4" s="5" t="s">
        <v>18</v>
      </c>
      <c r="E4" s="5" t="s">
        <v>17</v>
      </c>
      <c r="F4" s="5" t="s">
        <v>32</v>
      </c>
      <c r="G4" s="5" t="s">
        <v>18</v>
      </c>
      <c r="H4" s="3">
        <v>2</v>
      </c>
      <c r="I4" s="3">
        <v>2</v>
      </c>
      <c r="J4" s="5" t="s">
        <v>33</v>
      </c>
      <c r="K4" s="5" t="s">
        <v>34</v>
      </c>
      <c r="L4" s="5" t="s">
        <v>117</v>
      </c>
      <c r="M4" s="5" t="s">
        <v>35</v>
      </c>
      <c r="N4" s="5" t="s">
        <v>22</v>
      </c>
      <c r="O4" s="5" t="s">
        <v>36</v>
      </c>
    </row>
    <row r="5" spans="1:15" x14ac:dyDescent="0.25">
      <c r="A5" s="5" t="s">
        <v>14</v>
      </c>
      <c r="B5" s="5" t="s">
        <v>30</v>
      </c>
      <c r="C5" s="5" t="s">
        <v>31</v>
      </c>
      <c r="D5" s="5" t="s">
        <v>18</v>
      </c>
      <c r="E5" s="5" t="s">
        <v>17</v>
      </c>
      <c r="F5" s="5" t="s">
        <v>37</v>
      </c>
      <c r="G5" s="5" t="s">
        <v>17</v>
      </c>
      <c r="H5" s="4">
        <v>0</v>
      </c>
      <c r="I5" s="3">
        <v>2</v>
      </c>
      <c r="J5" s="2" t="s">
        <v>149</v>
      </c>
      <c r="K5" s="5" t="s">
        <v>114</v>
      </c>
      <c r="L5" s="5" t="s">
        <v>20</v>
      </c>
      <c r="M5" s="5" t="s">
        <v>28</v>
      </c>
      <c r="N5" s="5" t="s">
        <v>22</v>
      </c>
      <c r="O5" s="5" t="s">
        <v>117</v>
      </c>
    </row>
    <row r="6" spans="1:15" x14ac:dyDescent="0.25">
      <c r="A6" s="2" t="s">
        <v>38</v>
      </c>
      <c r="B6" s="2" t="s">
        <v>39</v>
      </c>
      <c r="C6" s="2" t="s">
        <v>40</v>
      </c>
      <c r="D6" s="2" t="s">
        <v>41</v>
      </c>
      <c r="E6" s="2" t="s">
        <v>42</v>
      </c>
      <c r="F6" s="2" t="s">
        <v>41</v>
      </c>
      <c r="G6" s="2" t="s">
        <v>41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38</v>
      </c>
      <c r="B7" s="2" t="s">
        <v>39</v>
      </c>
      <c r="C7" s="2" t="s">
        <v>40</v>
      </c>
      <c r="D7" s="2" t="s">
        <v>41</v>
      </c>
      <c r="E7" s="2" t="s">
        <v>42</v>
      </c>
      <c r="F7" s="2" t="s">
        <v>42</v>
      </c>
      <c r="G7" s="2" t="s">
        <v>42</v>
      </c>
      <c r="H7" s="4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5" t="s">
        <v>38</v>
      </c>
      <c r="B8" s="5" t="s">
        <v>43</v>
      </c>
      <c r="C8" s="5" t="s">
        <v>44</v>
      </c>
      <c r="D8" s="5" t="s">
        <v>45</v>
      </c>
      <c r="E8" s="5" t="s">
        <v>46</v>
      </c>
      <c r="F8" s="5" t="s">
        <v>47</v>
      </c>
      <c r="G8" s="5" t="s">
        <v>45</v>
      </c>
      <c r="H8" s="3">
        <v>2</v>
      </c>
      <c r="I8" s="3">
        <v>2</v>
      </c>
      <c r="J8" s="5" t="s">
        <v>157</v>
      </c>
      <c r="K8" s="5" t="s">
        <v>48</v>
      </c>
      <c r="L8" s="5" t="s">
        <v>49</v>
      </c>
      <c r="M8" s="5" t="s">
        <v>117</v>
      </c>
      <c r="N8" s="5" t="s">
        <v>50</v>
      </c>
      <c r="O8" s="5" t="s">
        <v>22</v>
      </c>
    </row>
    <row r="9" spans="1:15" x14ac:dyDescent="0.25">
      <c r="A9" s="5" t="s">
        <v>38</v>
      </c>
      <c r="B9" s="5" t="s">
        <v>43</v>
      </c>
      <c r="C9" s="5" t="s">
        <v>44</v>
      </c>
      <c r="D9" s="5" t="s">
        <v>45</v>
      </c>
      <c r="E9" s="5" t="s">
        <v>46</v>
      </c>
      <c r="F9" s="5" t="s">
        <v>51</v>
      </c>
      <c r="G9" s="5" t="s">
        <v>46</v>
      </c>
      <c r="H9" s="4">
        <v>0</v>
      </c>
      <c r="I9" s="3">
        <v>2</v>
      </c>
      <c r="J9" s="5" t="s">
        <v>52</v>
      </c>
      <c r="K9" s="5" t="s">
        <v>154</v>
      </c>
      <c r="L9" s="5" t="s">
        <v>21</v>
      </c>
      <c r="M9" s="5" t="s">
        <v>23</v>
      </c>
      <c r="N9" s="5" t="s">
        <v>22</v>
      </c>
      <c r="O9" s="5" t="s">
        <v>36</v>
      </c>
    </row>
    <row r="10" spans="1:15" x14ac:dyDescent="0.25">
      <c r="A10" s="2" t="s">
        <v>38</v>
      </c>
      <c r="B10" s="2" t="s">
        <v>53</v>
      </c>
      <c r="C10" s="2" t="s">
        <v>54</v>
      </c>
      <c r="D10" s="2" t="s">
        <v>55</v>
      </c>
      <c r="E10" s="2" t="s">
        <v>56</v>
      </c>
      <c r="F10" s="2" t="s">
        <v>57</v>
      </c>
      <c r="G10" s="2" t="s">
        <v>55</v>
      </c>
      <c r="H10" s="3">
        <v>2</v>
      </c>
      <c r="I10" s="3">
        <v>2</v>
      </c>
      <c r="J10" s="2" t="s">
        <v>49</v>
      </c>
      <c r="K10" s="2" t="s">
        <v>117</v>
      </c>
      <c r="L10" s="2" t="s">
        <v>58</v>
      </c>
      <c r="M10" s="2" t="s">
        <v>22</v>
      </c>
      <c r="N10" s="2" t="s">
        <v>23</v>
      </c>
      <c r="O10" s="2" t="s">
        <v>48</v>
      </c>
    </row>
    <row r="11" spans="1:15" x14ac:dyDescent="0.25">
      <c r="A11" s="2" t="s">
        <v>38</v>
      </c>
      <c r="B11" s="2" t="s">
        <v>53</v>
      </c>
      <c r="C11" s="2" t="s">
        <v>54</v>
      </c>
      <c r="D11" s="2" t="s">
        <v>55</v>
      </c>
      <c r="E11" s="2" t="s">
        <v>56</v>
      </c>
      <c r="F11" s="2" t="s">
        <v>59</v>
      </c>
      <c r="G11" s="2" t="s">
        <v>56</v>
      </c>
      <c r="H11" s="4">
        <v>0</v>
      </c>
      <c r="I11" s="3">
        <v>2</v>
      </c>
      <c r="J11" s="2" t="s">
        <v>60</v>
      </c>
      <c r="K11" s="2" t="s">
        <v>61</v>
      </c>
      <c r="L11" s="2" t="s">
        <v>49</v>
      </c>
      <c r="M11" s="5" t="s">
        <v>117</v>
      </c>
      <c r="N11" s="2" t="s">
        <v>48</v>
      </c>
      <c r="O11" s="2" t="s">
        <v>62</v>
      </c>
    </row>
    <row r="12" spans="1:15" x14ac:dyDescent="0.25">
      <c r="A12" s="5" t="s">
        <v>38</v>
      </c>
      <c r="B12" s="5" t="s">
        <v>63</v>
      </c>
      <c r="C12" s="5" t="s">
        <v>64</v>
      </c>
      <c r="D12" s="5" t="s">
        <v>55</v>
      </c>
      <c r="E12" s="5" t="s">
        <v>56</v>
      </c>
      <c r="F12" s="5" t="s">
        <v>65</v>
      </c>
      <c r="G12" s="5" t="s">
        <v>55</v>
      </c>
      <c r="H12" s="3">
        <v>2</v>
      </c>
      <c r="I12" s="3">
        <v>2</v>
      </c>
      <c r="J12" s="5" t="s">
        <v>26</v>
      </c>
      <c r="K12" s="5" t="s">
        <v>28</v>
      </c>
      <c r="L12" s="5" t="s">
        <v>66</v>
      </c>
      <c r="M12" s="5" t="s">
        <v>117</v>
      </c>
      <c r="N12" s="5" t="s">
        <v>22</v>
      </c>
      <c r="O12" s="5" t="s">
        <v>161</v>
      </c>
    </row>
    <row r="13" spans="1:15" x14ac:dyDescent="0.25">
      <c r="A13" s="5" t="s">
        <v>38</v>
      </c>
      <c r="B13" s="5" t="s">
        <v>63</v>
      </c>
      <c r="C13" s="5" t="s">
        <v>64</v>
      </c>
      <c r="D13" s="5" t="s">
        <v>55</v>
      </c>
      <c r="E13" s="5" t="s">
        <v>56</v>
      </c>
      <c r="F13" s="5" t="s">
        <v>67</v>
      </c>
      <c r="G13" s="5" t="s">
        <v>56</v>
      </c>
      <c r="H13" s="6">
        <v>1</v>
      </c>
      <c r="I13" s="3">
        <v>2</v>
      </c>
      <c r="J13" s="5" t="s">
        <v>62</v>
      </c>
      <c r="K13" s="5" t="s">
        <v>34</v>
      </c>
      <c r="L13" s="2" t="s">
        <v>149</v>
      </c>
      <c r="M13" s="5" t="s">
        <v>68</v>
      </c>
      <c r="N13" s="5" t="s">
        <v>35</v>
      </c>
      <c r="O13" s="5" t="s">
        <v>69</v>
      </c>
    </row>
    <row r="14" spans="1:15" x14ac:dyDescent="0.25">
      <c r="A14" s="2" t="s">
        <v>38</v>
      </c>
      <c r="B14" s="2" t="s">
        <v>70</v>
      </c>
      <c r="C14" s="2" t="s">
        <v>71</v>
      </c>
      <c r="D14" s="2" t="s">
        <v>18</v>
      </c>
      <c r="E14" s="2" t="s">
        <v>72</v>
      </c>
      <c r="F14" s="2" t="s">
        <v>73</v>
      </c>
      <c r="G14" s="2" t="s">
        <v>18</v>
      </c>
      <c r="H14" s="3">
        <v>2</v>
      </c>
      <c r="I14" s="3">
        <v>2</v>
      </c>
      <c r="J14" s="2" t="s">
        <v>66</v>
      </c>
      <c r="K14" s="2" t="s">
        <v>28</v>
      </c>
      <c r="L14" s="2" t="s">
        <v>23</v>
      </c>
      <c r="M14" s="5" t="s">
        <v>117</v>
      </c>
      <c r="N14" s="2" t="s">
        <v>22</v>
      </c>
      <c r="O14" s="5" t="s">
        <v>114</v>
      </c>
    </row>
    <row r="15" spans="1:15" x14ac:dyDescent="0.25">
      <c r="A15" s="2" t="s">
        <v>38</v>
      </c>
      <c r="B15" s="2" t="s">
        <v>70</v>
      </c>
      <c r="C15" s="2" t="s">
        <v>71</v>
      </c>
      <c r="D15" s="2" t="s">
        <v>18</v>
      </c>
      <c r="E15" s="2" t="s">
        <v>72</v>
      </c>
      <c r="F15" s="2" t="s">
        <v>74</v>
      </c>
      <c r="G15" s="2" t="s">
        <v>72</v>
      </c>
      <c r="H15" s="4">
        <v>0</v>
      </c>
      <c r="I15" s="3">
        <v>2</v>
      </c>
      <c r="J15" s="2" t="s">
        <v>156</v>
      </c>
      <c r="K15" s="2" t="s">
        <v>23</v>
      </c>
      <c r="L15" s="2" t="s">
        <v>49</v>
      </c>
      <c r="M15" s="2" t="s">
        <v>62</v>
      </c>
      <c r="N15" s="5" t="s">
        <v>117</v>
      </c>
      <c r="O15" s="2" t="s">
        <v>22</v>
      </c>
    </row>
    <row r="16" spans="1:15" x14ac:dyDescent="0.25">
      <c r="A16" s="5" t="s">
        <v>38</v>
      </c>
      <c r="B16" s="5" t="s">
        <v>75</v>
      </c>
      <c r="C16" s="5" t="s">
        <v>76</v>
      </c>
      <c r="D16" s="5" t="s">
        <v>77</v>
      </c>
      <c r="E16" s="5" t="s">
        <v>45</v>
      </c>
      <c r="F16" s="5" t="s">
        <v>78</v>
      </c>
      <c r="G16" s="5" t="s">
        <v>77</v>
      </c>
      <c r="H16" s="3">
        <v>2</v>
      </c>
      <c r="I16" s="3">
        <v>2</v>
      </c>
      <c r="J16" s="5" t="s">
        <v>79</v>
      </c>
      <c r="K16" s="5" t="s">
        <v>157</v>
      </c>
      <c r="L16" s="2" t="s">
        <v>149</v>
      </c>
      <c r="M16" s="5" t="s">
        <v>28</v>
      </c>
      <c r="N16" s="5" t="s">
        <v>117</v>
      </c>
      <c r="O16" s="5" t="s">
        <v>22</v>
      </c>
    </row>
    <row r="17" spans="1:15" x14ac:dyDescent="0.25">
      <c r="A17" s="5" t="s">
        <v>38</v>
      </c>
      <c r="B17" s="5" t="s">
        <v>75</v>
      </c>
      <c r="C17" s="5" t="s">
        <v>76</v>
      </c>
      <c r="D17" s="5" t="s">
        <v>77</v>
      </c>
      <c r="E17" s="5" t="s">
        <v>45</v>
      </c>
      <c r="F17" s="5" t="s">
        <v>80</v>
      </c>
      <c r="G17" s="5" t="s">
        <v>45</v>
      </c>
      <c r="H17" s="6">
        <v>1</v>
      </c>
      <c r="I17" s="3">
        <v>2</v>
      </c>
      <c r="J17" s="5" t="s">
        <v>52</v>
      </c>
      <c r="K17" s="5" t="s">
        <v>154</v>
      </c>
      <c r="L17" s="5" t="s">
        <v>23</v>
      </c>
      <c r="M17" s="5" t="s">
        <v>117</v>
      </c>
      <c r="N17" s="5" t="s">
        <v>22</v>
      </c>
      <c r="O17" s="5" t="s">
        <v>81</v>
      </c>
    </row>
    <row r="18" spans="1:15" x14ac:dyDescent="0.25">
      <c r="A18" s="2" t="s">
        <v>82</v>
      </c>
      <c r="B18" s="2" t="s">
        <v>83</v>
      </c>
      <c r="C18" s="2" t="s">
        <v>84</v>
      </c>
      <c r="D18" s="2" t="s">
        <v>72</v>
      </c>
      <c r="E18" s="2" t="s">
        <v>18</v>
      </c>
      <c r="F18" s="2" t="s">
        <v>85</v>
      </c>
      <c r="G18" s="2" t="s">
        <v>72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82</v>
      </c>
      <c r="B19" s="2" t="s">
        <v>83</v>
      </c>
      <c r="C19" s="2" t="s">
        <v>84</v>
      </c>
      <c r="D19" s="2" t="s">
        <v>72</v>
      </c>
      <c r="E19" s="2" t="s">
        <v>18</v>
      </c>
      <c r="F19" s="2" t="s">
        <v>86</v>
      </c>
      <c r="G19" s="2" t="s">
        <v>18</v>
      </c>
      <c r="H19" s="4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5" t="s">
        <v>82</v>
      </c>
      <c r="B20" s="5" t="s">
        <v>87</v>
      </c>
      <c r="C20" s="5" t="s">
        <v>54</v>
      </c>
      <c r="D20" s="5" t="s">
        <v>55</v>
      </c>
      <c r="E20" s="5" t="s">
        <v>56</v>
      </c>
      <c r="F20" s="5" t="s">
        <v>88</v>
      </c>
      <c r="G20" s="5" t="s">
        <v>55</v>
      </c>
      <c r="H20" s="3">
        <v>2</v>
      </c>
      <c r="I20" s="3">
        <v>2</v>
      </c>
      <c r="J20" s="5" t="s">
        <v>114</v>
      </c>
      <c r="K20" s="5" t="s">
        <v>20</v>
      </c>
      <c r="L20" s="5" t="s">
        <v>23</v>
      </c>
      <c r="M20" s="5" t="s">
        <v>62</v>
      </c>
      <c r="N20" s="5" t="s">
        <v>28</v>
      </c>
      <c r="O20" s="5" t="s">
        <v>117</v>
      </c>
    </row>
    <row r="21" spans="1:15" x14ac:dyDescent="0.25">
      <c r="A21" s="5" t="s">
        <v>82</v>
      </c>
      <c r="B21" s="5" t="s">
        <v>87</v>
      </c>
      <c r="C21" s="5" t="s">
        <v>54</v>
      </c>
      <c r="D21" s="5" t="s">
        <v>55</v>
      </c>
      <c r="E21" s="5" t="s">
        <v>56</v>
      </c>
      <c r="F21" s="5" t="s">
        <v>89</v>
      </c>
      <c r="G21" s="5" t="s">
        <v>56</v>
      </c>
      <c r="H21" s="4">
        <v>0</v>
      </c>
      <c r="I21" s="3">
        <v>2</v>
      </c>
      <c r="J21" s="5" t="s">
        <v>170</v>
      </c>
      <c r="K21" s="5" t="s">
        <v>155</v>
      </c>
      <c r="L21" s="5" t="s">
        <v>163</v>
      </c>
      <c r="M21" s="5" t="s">
        <v>150</v>
      </c>
      <c r="N21" s="5" t="s">
        <v>28</v>
      </c>
      <c r="O21" s="5" t="s">
        <v>62</v>
      </c>
    </row>
    <row r="22" spans="1:15" x14ac:dyDescent="0.25">
      <c r="A22" s="2" t="s">
        <v>82</v>
      </c>
      <c r="B22" s="2" t="s">
        <v>90</v>
      </c>
      <c r="C22" s="2" t="s">
        <v>91</v>
      </c>
      <c r="D22" s="2" t="s">
        <v>18</v>
      </c>
      <c r="E22" s="2" t="s">
        <v>72</v>
      </c>
      <c r="F22" s="2" t="s">
        <v>92</v>
      </c>
      <c r="G22" s="2" t="s">
        <v>18</v>
      </c>
      <c r="H22" s="3">
        <v>2</v>
      </c>
      <c r="I22" s="3">
        <v>2</v>
      </c>
      <c r="J22" s="2" t="s">
        <v>33</v>
      </c>
      <c r="K22" s="2" t="s">
        <v>35</v>
      </c>
      <c r="L22" s="2" t="s">
        <v>34</v>
      </c>
      <c r="M22" s="2" t="s">
        <v>69</v>
      </c>
      <c r="N22" s="2" t="s">
        <v>22</v>
      </c>
      <c r="O22" s="2" t="s">
        <v>60</v>
      </c>
    </row>
    <row r="23" spans="1:15" x14ac:dyDescent="0.25">
      <c r="A23" s="2" t="s">
        <v>82</v>
      </c>
      <c r="B23" s="2" t="s">
        <v>90</v>
      </c>
      <c r="C23" s="2" t="s">
        <v>91</v>
      </c>
      <c r="D23" s="2" t="s">
        <v>18</v>
      </c>
      <c r="E23" s="2" t="s">
        <v>72</v>
      </c>
      <c r="F23" s="2" t="s">
        <v>93</v>
      </c>
      <c r="G23" s="2" t="s">
        <v>72</v>
      </c>
      <c r="H23" s="6">
        <v>1</v>
      </c>
      <c r="I23" s="3">
        <v>2</v>
      </c>
      <c r="J23" s="2" t="s">
        <v>149</v>
      </c>
      <c r="K23" s="2" t="s">
        <v>160</v>
      </c>
      <c r="L23" s="2" t="s">
        <v>20</v>
      </c>
      <c r="M23" s="5" t="s">
        <v>117</v>
      </c>
      <c r="N23" s="2" t="s">
        <v>22</v>
      </c>
      <c r="O23" s="2" t="s">
        <v>58</v>
      </c>
    </row>
    <row r="24" spans="1:15" x14ac:dyDescent="0.25">
      <c r="A24" s="5" t="s">
        <v>82</v>
      </c>
      <c r="B24" s="5" t="s">
        <v>94</v>
      </c>
      <c r="C24" s="5" t="s">
        <v>95</v>
      </c>
      <c r="D24" s="5" t="s">
        <v>96</v>
      </c>
      <c r="E24" s="5" t="s">
        <v>97</v>
      </c>
      <c r="F24" s="5" t="s">
        <v>98</v>
      </c>
      <c r="G24" s="5" t="s">
        <v>96</v>
      </c>
      <c r="H24" s="3">
        <v>2</v>
      </c>
      <c r="I24" s="3">
        <v>2</v>
      </c>
      <c r="J24" s="2" t="s">
        <v>149</v>
      </c>
      <c r="K24" s="5" t="s">
        <v>22</v>
      </c>
      <c r="L24" s="5" t="s">
        <v>23</v>
      </c>
      <c r="M24" s="5" t="s">
        <v>28</v>
      </c>
      <c r="N24" s="5" t="s">
        <v>117</v>
      </c>
      <c r="O24" s="5" t="s">
        <v>79</v>
      </c>
    </row>
    <row r="25" spans="1:15" x14ac:dyDescent="0.25">
      <c r="A25" s="5" t="s">
        <v>82</v>
      </c>
      <c r="B25" s="5" t="s">
        <v>94</v>
      </c>
      <c r="C25" s="5" t="s">
        <v>95</v>
      </c>
      <c r="D25" s="5" t="s">
        <v>96</v>
      </c>
      <c r="E25" s="5" t="s">
        <v>97</v>
      </c>
      <c r="F25" s="5" t="s">
        <v>99</v>
      </c>
      <c r="G25" s="5" t="s">
        <v>97</v>
      </c>
      <c r="H25" s="4">
        <v>0</v>
      </c>
      <c r="I25" s="3">
        <v>2</v>
      </c>
      <c r="J25" s="5" t="s">
        <v>22</v>
      </c>
      <c r="K25" s="5" t="s">
        <v>150</v>
      </c>
      <c r="L25" s="5" t="s">
        <v>170</v>
      </c>
      <c r="M25" s="5" t="s">
        <v>58</v>
      </c>
      <c r="N25" s="5" t="s">
        <v>62</v>
      </c>
      <c r="O25" s="5" t="s">
        <v>23</v>
      </c>
    </row>
    <row r="26" spans="1:15" x14ac:dyDescent="0.25">
      <c r="A26" s="2" t="s">
        <v>82</v>
      </c>
      <c r="B26" s="2" t="s">
        <v>100</v>
      </c>
      <c r="C26" s="2" t="s">
        <v>101</v>
      </c>
      <c r="D26" s="2" t="s">
        <v>77</v>
      </c>
      <c r="E26" s="2" t="s">
        <v>45</v>
      </c>
      <c r="F26" s="2" t="s">
        <v>102</v>
      </c>
      <c r="G26" s="2" t="s">
        <v>77</v>
      </c>
      <c r="H26" s="3">
        <v>2</v>
      </c>
      <c r="I26" s="3">
        <v>2</v>
      </c>
      <c r="J26" s="2" t="s">
        <v>162</v>
      </c>
      <c r="K26" s="2" t="s">
        <v>34</v>
      </c>
      <c r="L26" s="2" t="s">
        <v>35</v>
      </c>
      <c r="M26" s="5" t="s">
        <v>117</v>
      </c>
      <c r="N26" s="2" t="s">
        <v>22</v>
      </c>
      <c r="O26" s="2" t="s">
        <v>36</v>
      </c>
    </row>
    <row r="27" spans="1:15" x14ac:dyDescent="0.25">
      <c r="A27" s="2" t="s">
        <v>82</v>
      </c>
      <c r="B27" s="2" t="s">
        <v>100</v>
      </c>
      <c r="C27" s="2" t="s">
        <v>101</v>
      </c>
      <c r="D27" s="2" t="s">
        <v>77</v>
      </c>
      <c r="E27" s="2" t="s">
        <v>45</v>
      </c>
      <c r="F27" s="2" t="s">
        <v>103</v>
      </c>
      <c r="G27" s="2" t="s">
        <v>45</v>
      </c>
      <c r="H27" s="4">
        <v>0</v>
      </c>
      <c r="I27" s="3">
        <v>2</v>
      </c>
      <c r="J27" s="2" t="s">
        <v>150</v>
      </c>
      <c r="K27" s="2" t="s">
        <v>23</v>
      </c>
      <c r="L27" s="2" t="s">
        <v>170</v>
      </c>
      <c r="M27" s="2" t="s">
        <v>22</v>
      </c>
      <c r="N27" s="2" t="s">
        <v>62</v>
      </c>
      <c r="O27" s="2" t="s">
        <v>58</v>
      </c>
    </row>
    <row r="28" spans="1:15" x14ac:dyDescent="0.25">
      <c r="A28" s="5" t="s">
        <v>82</v>
      </c>
      <c r="B28" s="5" t="s">
        <v>104</v>
      </c>
      <c r="C28" s="5" t="s">
        <v>105</v>
      </c>
      <c r="D28" s="5" t="s">
        <v>96</v>
      </c>
      <c r="E28" s="5" t="s">
        <v>97</v>
      </c>
      <c r="F28" s="5" t="s">
        <v>106</v>
      </c>
      <c r="G28" s="5" t="s">
        <v>96</v>
      </c>
      <c r="H28" s="3">
        <v>2</v>
      </c>
      <c r="I28" s="3">
        <v>2</v>
      </c>
      <c r="J28" s="5"/>
      <c r="K28" s="5"/>
      <c r="L28" s="5"/>
      <c r="M28" s="5"/>
      <c r="N28" s="5"/>
      <c r="O28" s="5"/>
    </row>
    <row r="29" spans="1:15" x14ac:dyDescent="0.25">
      <c r="A29" s="5" t="s">
        <v>82</v>
      </c>
      <c r="B29" s="5" t="s">
        <v>104</v>
      </c>
      <c r="C29" s="5" t="s">
        <v>105</v>
      </c>
      <c r="D29" s="5" t="s">
        <v>96</v>
      </c>
      <c r="E29" s="5" t="s">
        <v>97</v>
      </c>
      <c r="F29" s="5" t="s">
        <v>107</v>
      </c>
      <c r="G29" s="5" t="s">
        <v>97</v>
      </c>
      <c r="H29" s="4">
        <v>0</v>
      </c>
      <c r="I29" s="3">
        <v>2</v>
      </c>
      <c r="J29" s="5"/>
      <c r="K29" s="5"/>
      <c r="L29" s="5"/>
      <c r="M29" s="5"/>
      <c r="N29" s="5"/>
      <c r="O29" s="5"/>
    </row>
    <row r="30" spans="1:15" x14ac:dyDescent="0.25">
      <c r="A30" s="2" t="s">
        <v>82</v>
      </c>
      <c r="B30" s="2" t="s">
        <v>75</v>
      </c>
      <c r="C30" s="2" t="s">
        <v>76</v>
      </c>
      <c r="D30" s="2" t="s">
        <v>77</v>
      </c>
      <c r="E30" s="2" t="s">
        <v>45</v>
      </c>
      <c r="F30" s="2" t="s">
        <v>108</v>
      </c>
      <c r="G30" s="2" t="s">
        <v>77</v>
      </c>
      <c r="H30" s="3">
        <v>2</v>
      </c>
      <c r="I30" s="3">
        <v>2</v>
      </c>
      <c r="J30" s="2" t="s">
        <v>34</v>
      </c>
      <c r="K30" s="2" t="s">
        <v>35</v>
      </c>
      <c r="L30" s="2" t="s">
        <v>36</v>
      </c>
      <c r="M30" s="2" t="s">
        <v>22</v>
      </c>
      <c r="N30" s="5" t="s">
        <v>117</v>
      </c>
      <c r="O30" s="2" t="s">
        <v>33</v>
      </c>
    </row>
    <row r="31" spans="1:15" x14ac:dyDescent="0.25">
      <c r="A31" s="2" t="s">
        <v>82</v>
      </c>
      <c r="B31" s="2" t="s">
        <v>75</v>
      </c>
      <c r="C31" s="2" t="s">
        <v>76</v>
      </c>
      <c r="D31" s="2" t="s">
        <v>77</v>
      </c>
      <c r="E31" s="2" t="s">
        <v>45</v>
      </c>
      <c r="F31" s="2" t="s">
        <v>109</v>
      </c>
      <c r="G31" s="2" t="s">
        <v>45</v>
      </c>
      <c r="H31" s="6">
        <v>1</v>
      </c>
      <c r="I31" s="3">
        <v>2</v>
      </c>
      <c r="J31" s="2" t="s">
        <v>149</v>
      </c>
      <c r="K31" s="2" t="s">
        <v>23</v>
      </c>
      <c r="L31" s="5" t="s">
        <v>117</v>
      </c>
      <c r="M31" s="2" t="s">
        <v>62</v>
      </c>
      <c r="N31" s="2" t="s">
        <v>60</v>
      </c>
      <c r="O31" s="2" t="s">
        <v>28</v>
      </c>
    </row>
    <row r="32" spans="1:15" x14ac:dyDescent="0.25">
      <c r="A32" s="5" t="s">
        <v>110</v>
      </c>
      <c r="B32" s="5" t="s">
        <v>111</v>
      </c>
      <c r="C32" s="5" t="s">
        <v>112</v>
      </c>
      <c r="D32" s="5" t="s">
        <v>96</v>
      </c>
      <c r="E32" s="5" t="s">
        <v>97</v>
      </c>
      <c r="F32" s="5" t="s">
        <v>113</v>
      </c>
      <c r="G32" s="5" t="s">
        <v>96</v>
      </c>
      <c r="H32" s="3">
        <v>2</v>
      </c>
      <c r="I32" s="3">
        <v>2</v>
      </c>
      <c r="J32" s="5" t="s">
        <v>114</v>
      </c>
      <c r="K32" s="5" t="s">
        <v>62</v>
      </c>
      <c r="L32" s="5" t="s">
        <v>164</v>
      </c>
      <c r="M32" s="5" t="s">
        <v>115</v>
      </c>
      <c r="N32" s="5" t="s">
        <v>161</v>
      </c>
      <c r="O32" s="5" t="s">
        <v>158</v>
      </c>
    </row>
    <row r="33" spans="1:15" x14ac:dyDescent="0.25">
      <c r="A33" s="5" t="s">
        <v>110</v>
      </c>
      <c r="B33" s="5" t="s">
        <v>111</v>
      </c>
      <c r="C33" s="5" t="s">
        <v>112</v>
      </c>
      <c r="D33" s="5" t="s">
        <v>96</v>
      </c>
      <c r="E33" s="5" t="s">
        <v>97</v>
      </c>
      <c r="F33" s="5" t="s">
        <v>116</v>
      </c>
      <c r="G33" s="5" t="s">
        <v>97</v>
      </c>
      <c r="H33" s="6">
        <v>1</v>
      </c>
      <c r="I33" s="3">
        <v>2</v>
      </c>
      <c r="J33" s="2" t="s">
        <v>149</v>
      </c>
      <c r="K33" s="5" t="s">
        <v>114</v>
      </c>
      <c r="L33" s="5" t="s">
        <v>22</v>
      </c>
      <c r="M33" s="5" t="s">
        <v>117</v>
      </c>
      <c r="N33" s="5" t="s">
        <v>20</v>
      </c>
      <c r="O33" s="5" t="s">
        <v>28</v>
      </c>
    </row>
    <row r="34" spans="1:15" x14ac:dyDescent="0.25">
      <c r="A34" s="2" t="s">
        <v>110</v>
      </c>
      <c r="B34" s="2" t="s">
        <v>118</v>
      </c>
      <c r="C34" s="2" t="s">
        <v>119</v>
      </c>
      <c r="D34" s="2" t="s">
        <v>120</v>
      </c>
      <c r="E34" s="2" t="s">
        <v>121</v>
      </c>
      <c r="F34" s="2" t="s">
        <v>122</v>
      </c>
      <c r="G34" s="2" t="s">
        <v>120</v>
      </c>
      <c r="H34" s="3">
        <v>2</v>
      </c>
      <c r="I34" s="3">
        <v>2</v>
      </c>
      <c r="J34" s="2" t="s">
        <v>20</v>
      </c>
      <c r="K34" s="2" t="s">
        <v>114</v>
      </c>
      <c r="L34" s="2" t="s">
        <v>28</v>
      </c>
      <c r="M34" s="5" t="s">
        <v>117</v>
      </c>
      <c r="N34" s="2" t="s">
        <v>23</v>
      </c>
      <c r="O34" s="2" t="s">
        <v>22</v>
      </c>
    </row>
    <row r="35" spans="1:15" x14ac:dyDescent="0.25">
      <c r="A35" s="2" t="s">
        <v>110</v>
      </c>
      <c r="B35" s="2" t="s">
        <v>118</v>
      </c>
      <c r="C35" s="2" t="s">
        <v>119</v>
      </c>
      <c r="D35" s="2" t="s">
        <v>120</v>
      </c>
      <c r="E35" s="2" t="s">
        <v>121</v>
      </c>
      <c r="F35" s="2" t="s">
        <v>123</v>
      </c>
      <c r="G35" s="2" t="s">
        <v>121</v>
      </c>
      <c r="H35" s="4">
        <v>0</v>
      </c>
      <c r="I35" s="3">
        <v>2</v>
      </c>
      <c r="J35" s="2" t="s">
        <v>149</v>
      </c>
      <c r="K35" s="2" t="s">
        <v>34</v>
      </c>
      <c r="L35" s="2" t="s">
        <v>20</v>
      </c>
      <c r="M35" s="2" t="s">
        <v>36</v>
      </c>
      <c r="N35" s="5" t="s">
        <v>117</v>
      </c>
      <c r="O35" s="2" t="s">
        <v>28</v>
      </c>
    </row>
    <row r="36" spans="1:15" x14ac:dyDescent="0.25">
      <c r="A36" s="5" t="s">
        <v>110</v>
      </c>
      <c r="B36" s="5" t="s">
        <v>124</v>
      </c>
      <c r="C36" s="5" t="s">
        <v>95</v>
      </c>
      <c r="D36" s="5" t="s">
        <v>96</v>
      </c>
      <c r="E36" s="5" t="s">
        <v>97</v>
      </c>
      <c r="F36" s="5" t="s">
        <v>125</v>
      </c>
      <c r="G36" s="5" t="s">
        <v>96</v>
      </c>
      <c r="H36" s="3">
        <v>2</v>
      </c>
      <c r="I36" s="3">
        <v>2</v>
      </c>
      <c r="J36" s="5" t="s">
        <v>27</v>
      </c>
      <c r="K36" s="5" t="s">
        <v>126</v>
      </c>
      <c r="L36" s="5" t="s">
        <v>23</v>
      </c>
      <c r="M36" s="5" t="s">
        <v>154</v>
      </c>
      <c r="N36" s="5" t="s">
        <v>29</v>
      </c>
      <c r="O36" s="5" t="s">
        <v>117</v>
      </c>
    </row>
    <row r="37" spans="1:15" x14ac:dyDescent="0.25">
      <c r="A37" s="5" t="s">
        <v>110</v>
      </c>
      <c r="B37" s="5" t="s">
        <v>124</v>
      </c>
      <c r="C37" s="5" t="s">
        <v>95</v>
      </c>
      <c r="D37" s="5" t="s">
        <v>96</v>
      </c>
      <c r="E37" s="5" t="s">
        <v>97</v>
      </c>
      <c r="F37" s="5" t="s">
        <v>127</v>
      </c>
      <c r="G37" s="5" t="s">
        <v>97</v>
      </c>
      <c r="H37" s="4">
        <v>0</v>
      </c>
      <c r="I37" s="3">
        <v>2</v>
      </c>
      <c r="J37" s="5" t="s">
        <v>27</v>
      </c>
      <c r="K37" s="5" t="s">
        <v>126</v>
      </c>
      <c r="L37" s="5" t="s">
        <v>23</v>
      </c>
      <c r="M37" s="5" t="s">
        <v>62</v>
      </c>
      <c r="N37" s="5" t="s">
        <v>117</v>
      </c>
      <c r="O37" s="5" t="s">
        <v>58</v>
      </c>
    </row>
    <row r="38" spans="1:15" x14ac:dyDescent="0.25">
      <c r="A38" s="2" t="s">
        <v>110</v>
      </c>
      <c r="B38" s="2" t="s">
        <v>104</v>
      </c>
      <c r="C38" s="2" t="s">
        <v>95</v>
      </c>
      <c r="D38" s="2" t="s">
        <v>96</v>
      </c>
      <c r="E38" s="2" t="s">
        <v>97</v>
      </c>
      <c r="F38" s="2" t="s">
        <v>104</v>
      </c>
      <c r="G38" s="2" t="s">
        <v>96</v>
      </c>
      <c r="H38" s="3">
        <v>2</v>
      </c>
      <c r="I38" s="3">
        <v>2</v>
      </c>
      <c r="J38" s="2" t="s">
        <v>149</v>
      </c>
      <c r="K38" s="2" t="s">
        <v>20</v>
      </c>
      <c r="L38" s="2" t="s">
        <v>22</v>
      </c>
      <c r="M38" s="2" t="s">
        <v>114</v>
      </c>
      <c r="N38" s="2" t="s">
        <v>28</v>
      </c>
      <c r="O38" s="2" t="s">
        <v>117</v>
      </c>
    </row>
    <row r="39" spans="1:15" x14ac:dyDescent="0.25">
      <c r="A39" s="2" t="s">
        <v>110</v>
      </c>
      <c r="B39" s="2" t="s">
        <v>104</v>
      </c>
      <c r="C39" s="2" t="s">
        <v>95</v>
      </c>
      <c r="D39" s="2" t="s">
        <v>96</v>
      </c>
      <c r="E39" s="2" t="s">
        <v>97</v>
      </c>
      <c r="F39" s="2" t="s">
        <v>128</v>
      </c>
      <c r="G39" s="2" t="s">
        <v>97</v>
      </c>
      <c r="H39" s="4">
        <v>0</v>
      </c>
      <c r="I39" s="3">
        <v>2</v>
      </c>
      <c r="J39" s="2" t="s">
        <v>129</v>
      </c>
      <c r="K39" s="2" t="s">
        <v>49</v>
      </c>
      <c r="L39" s="2" t="s">
        <v>130</v>
      </c>
      <c r="M39" s="2" t="s">
        <v>131</v>
      </c>
      <c r="N39" s="2" t="s">
        <v>48</v>
      </c>
      <c r="O39" s="2" t="s">
        <v>117</v>
      </c>
    </row>
    <row r="40" spans="1:15" x14ac:dyDescent="0.25">
      <c r="A40" s="5" t="s">
        <v>110</v>
      </c>
      <c r="B40" s="5" t="s">
        <v>132</v>
      </c>
      <c r="C40" s="5" t="s">
        <v>133</v>
      </c>
      <c r="D40" s="5" t="s">
        <v>134</v>
      </c>
      <c r="E40" s="5" t="s">
        <v>120</v>
      </c>
      <c r="F40" s="5" t="s">
        <v>135</v>
      </c>
      <c r="G40" s="5" t="s">
        <v>134</v>
      </c>
      <c r="H40" s="3">
        <v>2</v>
      </c>
      <c r="I40" s="3">
        <v>2</v>
      </c>
      <c r="J40" s="5" t="s">
        <v>22</v>
      </c>
      <c r="K40" s="5" t="s">
        <v>52</v>
      </c>
      <c r="L40" s="5" t="s">
        <v>154</v>
      </c>
      <c r="M40" s="5" t="s">
        <v>23</v>
      </c>
      <c r="N40" s="2" t="s">
        <v>117</v>
      </c>
      <c r="O40" s="5" t="s">
        <v>21</v>
      </c>
    </row>
    <row r="41" spans="1:15" x14ac:dyDescent="0.25">
      <c r="A41" s="5" t="s">
        <v>110</v>
      </c>
      <c r="B41" s="5" t="s">
        <v>132</v>
      </c>
      <c r="C41" s="5" t="s">
        <v>133</v>
      </c>
      <c r="D41" s="5" t="s">
        <v>134</v>
      </c>
      <c r="E41" s="5" t="s">
        <v>120</v>
      </c>
      <c r="F41" s="5" t="s">
        <v>136</v>
      </c>
      <c r="G41" s="5" t="s">
        <v>120</v>
      </c>
      <c r="H41" s="6">
        <v>1</v>
      </c>
      <c r="I41" s="3">
        <v>2</v>
      </c>
      <c r="J41" s="5" t="s">
        <v>152</v>
      </c>
      <c r="K41" s="5" t="s">
        <v>114</v>
      </c>
      <c r="L41" s="5" t="s">
        <v>155</v>
      </c>
      <c r="M41" s="5" t="s">
        <v>126</v>
      </c>
      <c r="N41" s="5" t="s">
        <v>62</v>
      </c>
      <c r="O41" s="5" t="s">
        <v>115</v>
      </c>
    </row>
    <row r="42" spans="1:15" x14ac:dyDescent="0.25">
      <c r="A42" s="2" t="s">
        <v>110</v>
      </c>
      <c r="B42" s="2" t="s">
        <v>90</v>
      </c>
      <c r="C42" s="2" t="s">
        <v>91</v>
      </c>
      <c r="D42" s="2" t="s">
        <v>18</v>
      </c>
      <c r="E42" s="2" t="s">
        <v>72</v>
      </c>
      <c r="F42" s="2" t="s">
        <v>137</v>
      </c>
      <c r="G42" s="2" t="s">
        <v>18</v>
      </c>
      <c r="H42" s="3">
        <v>2</v>
      </c>
      <c r="I42" s="3">
        <v>2</v>
      </c>
      <c r="J42" s="2" t="s">
        <v>138</v>
      </c>
      <c r="K42" s="2" t="s">
        <v>153</v>
      </c>
      <c r="L42" s="2" t="s">
        <v>62</v>
      </c>
      <c r="M42" s="2" t="s">
        <v>34</v>
      </c>
      <c r="N42" s="2" t="s">
        <v>151</v>
      </c>
      <c r="O42" s="2" t="s">
        <v>35</v>
      </c>
    </row>
    <row r="43" spans="1:15" x14ac:dyDescent="0.25">
      <c r="A43" s="2" t="s">
        <v>110</v>
      </c>
      <c r="B43" s="2" t="s">
        <v>90</v>
      </c>
      <c r="C43" s="2" t="s">
        <v>91</v>
      </c>
      <c r="D43" s="2" t="s">
        <v>18</v>
      </c>
      <c r="E43" s="2" t="s">
        <v>72</v>
      </c>
      <c r="F43" s="2" t="s">
        <v>139</v>
      </c>
      <c r="G43" s="2" t="s">
        <v>72</v>
      </c>
      <c r="H43" s="6">
        <v>1</v>
      </c>
      <c r="I43" s="3">
        <v>2</v>
      </c>
      <c r="J43" s="2" t="s">
        <v>159</v>
      </c>
      <c r="K43" s="2" t="s">
        <v>49</v>
      </c>
      <c r="L43" s="2" t="s">
        <v>140</v>
      </c>
      <c r="M43" s="2" t="s">
        <v>161</v>
      </c>
      <c r="N43" s="2" t="s">
        <v>170</v>
      </c>
      <c r="O43" s="2" t="s">
        <v>62</v>
      </c>
    </row>
    <row r="44" spans="1:15" x14ac:dyDescent="0.25">
      <c r="A44" s="5" t="s">
        <v>141</v>
      </c>
      <c r="B44" s="5" t="s">
        <v>142</v>
      </c>
      <c r="C44" s="5" t="s">
        <v>95</v>
      </c>
      <c r="D44" s="5" t="s">
        <v>96</v>
      </c>
      <c r="E44" s="5" t="s">
        <v>97</v>
      </c>
      <c r="F44" s="5" t="s">
        <v>143</v>
      </c>
      <c r="G44" s="5" t="s">
        <v>96</v>
      </c>
      <c r="H44" s="3">
        <v>2</v>
      </c>
      <c r="I44" s="3">
        <v>2</v>
      </c>
      <c r="J44" s="5" t="s">
        <v>20</v>
      </c>
      <c r="K44" s="2" t="s">
        <v>149</v>
      </c>
      <c r="L44" s="5" t="s">
        <v>117</v>
      </c>
      <c r="M44" s="5" t="s">
        <v>28</v>
      </c>
      <c r="N44" s="5" t="s">
        <v>114</v>
      </c>
      <c r="O44" s="5" t="s">
        <v>22</v>
      </c>
    </row>
    <row r="45" spans="1:15" x14ac:dyDescent="0.25">
      <c r="A45" s="5" t="s">
        <v>141</v>
      </c>
      <c r="B45" s="5" t="s">
        <v>142</v>
      </c>
      <c r="C45" s="5" t="s">
        <v>95</v>
      </c>
      <c r="D45" s="5" t="s">
        <v>96</v>
      </c>
      <c r="E45" s="5" t="s">
        <v>97</v>
      </c>
      <c r="F45" s="5" t="s">
        <v>144</v>
      </c>
      <c r="G45" s="5" t="s">
        <v>97</v>
      </c>
      <c r="H45" s="4">
        <v>0</v>
      </c>
      <c r="I45" s="3">
        <v>2</v>
      </c>
      <c r="J45" s="2" t="s">
        <v>149</v>
      </c>
      <c r="K45" s="5" t="s">
        <v>20</v>
      </c>
      <c r="L45" s="5" t="s">
        <v>145</v>
      </c>
      <c r="M45" s="5" t="s">
        <v>28</v>
      </c>
      <c r="N45" s="5" t="s">
        <v>36</v>
      </c>
      <c r="O45" s="5" t="s">
        <v>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4"/>
  <sheetViews>
    <sheetView tabSelected="1" workbookViewId="0">
      <selection activeCell="I17" sqref="I17"/>
    </sheetView>
  </sheetViews>
  <sheetFormatPr baseColWidth="10" defaultColWidth="9.140625" defaultRowHeight="15" x14ac:dyDescent="0.25"/>
  <cols>
    <col min="1" max="1" width="25" customWidth="1"/>
    <col min="2" max="2" width="15" customWidth="1"/>
  </cols>
  <sheetData>
    <row r="1" spans="1:2" x14ac:dyDescent="0.25">
      <c r="A1" s="7" t="s">
        <v>146</v>
      </c>
      <c r="B1" s="7" t="s">
        <v>147</v>
      </c>
    </row>
    <row r="2" spans="1:2" x14ac:dyDescent="0.25">
      <c r="A2" t="s">
        <v>117</v>
      </c>
      <c r="B2">
        <v>27</v>
      </c>
    </row>
    <row r="3" spans="1:2" x14ac:dyDescent="0.25">
      <c r="A3" t="s">
        <v>22</v>
      </c>
      <c r="B3">
        <v>23</v>
      </c>
    </row>
    <row r="4" spans="1:2" x14ac:dyDescent="0.25">
      <c r="A4" t="s">
        <v>28</v>
      </c>
      <c r="B4">
        <v>15</v>
      </c>
    </row>
    <row r="5" spans="1:2" x14ac:dyDescent="0.25">
      <c r="A5" t="s">
        <v>23</v>
      </c>
      <c r="B5">
        <v>15</v>
      </c>
    </row>
    <row r="6" spans="1:2" x14ac:dyDescent="0.25">
      <c r="A6" t="s">
        <v>62</v>
      </c>
      <c r="B6">
        <v>13</v>
      </c>
    </row>
    <row r="7" spans="1:2" x14ac:dyDescent="0.25">
      <c r="A7" t="s">
        <v>149</v>
      </c>
      <c r="B7">
        <v>11</v>
      </c>
    </row>
    <row r="8" spans="1:2" x14ac:dyDescent="0.25">
      <c r="A8" t="s">
        <v>20</v>
      </c>
      <c r="B8">
        <v>10</v>
      </c>
    </row>
    <row r="9" spans="1:2" x14ac:dyDescent="0.25">
      <c r="A9" t="s">
        <v>114</v>
      </c>
      <c r="B9">
        <v>9</v>
      </c>
    </row>
    <row r="10" spans="1:2" x14ac:dyDescent="0.25">
      <c r="A10" t="s">
        <v>34</v>
      </c>
      <c r="B10">
        <v>7</v>
      </c>
    </row>
    <row r="11" spans="1:2" x14ac:dyDescent="0.25">
      <c r="A11" t="s">
        <v>49</v>
      </c>
      <c r="B11">
        <v>6</v>
      </c>
    </row>
    <row r="12" spans="1:2" x14ac:dyDescent="0.25">
      <c r="A12" t="s">
        <v>36</v>
      </c>
      <c r="B12">
        <v>6</v>
      </c>
    </row>
    <row r="13" spans="1:2" x14ac:dyDescent="0.25">
      <c r="A13" t="s">
        <v>35</v>
      </c>
      <c r="B13">
        <v>6</v>
      </c>
    </row>
    <row r="14" spans="1:2" x14ac:dyDescent="0.25">
      <c r="A14" t="s">
        <v>58</v>
      </c>
      <c r="B14">
        <v>5</v>
      </c>
    </row>
    <row r="15" spans="1:2" x14ac:dyDescent="0.25">
      <c r="A15" t="s">
        <v>154</v>
      </c>
      <c r="B15">
        <v>5</v>
      </c>
    </row>
    <row r="16" spans="1:2" x14ac:dyDescent="0.25">
      <c r="A16" t="s">
        <v>48</v>
      </c>
      <c r="B16">
        <v>4</v>
      </c>
    </row>
    <row r="17" spans="1:2" x14ac:dyDescent="0.25">
      <c r="A17" t="s">
        <v>170</v>
      </c>
      <c r="B17">
        <v>4</v>
      </c>
    </row>
    <row r="18" spans="1:2" x14ac:dyDescent="0.25">
      <c r="A18" t="s">
        <v>33</v>
      </c>
      <c r="B18">
        <v>4</v>
      </c>
    </row>
    <row r="19" spans="1:2" x14ac:dyDescent="0.25">
      <c r="A19" t="s">
        <v>21</v>
      </c>
      <c r="B19">
        <v>4</v>
      </c>
    </row>
    <row r="20" spans="1:2" x14ac:dyDescent="0.25">
      <c r="A20" t="s">
        <v>52</v>
      </c>
      <c r="B20">
        <v>3</v>
      </c>
    </row>
    <row r="21" spans="1:2" x14ac:dyDescent="0.25">
      <c r="A21" t="s">
        <v>126</v>
      </c>
      <c r="B21">
        <v>3</v>
      </c>
    </row>
    <row r="22" spans="1:2" x14ac:dyDescent="0.25">
      <c r="A22" t="s">
        <v>156</v>
      </c>
      <c r="B22">
        <v>3</v>
      </c>
    </row>
    <row r="23" spans="1:2" x14ac:dyDescent="0.25">
      <c r="A23" t="s">
        <v>161</v>
      </c>
      <c r="B23">
        <v>3</v>
      </c>
    </row>
    <row r="24" spans="1:2" x14ac:dyDescent="0.25">
      <c r="A24" t="s">
        <v>150</v>
      </c>
      <c r="B24">
        <v>3</v>
      </c>
    </row>
    <row r="25" spans="1:2" x14ac:dyDescent="0.25">
      <c r="A25" t="s">
        <v>155</v>
      </c>
      <c r="B25">
        <v>3</v>
      </c>
    </row>
    <row r="26" spans="1:2" x14ac:dyDescent="0.25">
      <c r="A26" t="s">
        <v>27</v>
      </c>
      <c r="B26">
        <v>3</v>
      </c>
    </row>
    <row r="27" spans="1:2" x14ac:dyDescent="0.25">
      <c r="A27" t="s">
        <v>60</v>
      </c>
      <c r="B27">
        <v>3</v>
      </c>
    </row>
    <row r="28" spans="1:2" x14ac:dyDescent="0.25">
      <c r="A28" t="s">
        <v>29</v>
      </c>
      <c r="B28">
        <v>2</v>
      </c>
    </row>
    <row r="29" spans="1:2" x14ac:dyDescent="0.25">
      <c r="A29" t="s">
        <v>69</v>
      </c>
      <c r="B29">
        <v>2</v>
      </c>
    </row>
    <row r="30" spans="1:2" x14ac:dyDescent="0.25">
      <c r="A30" t="s">
        <v>115</v>
      </c>
      <c r="B30">
        <v>2</v>
      </c>
    </row>
    <row r="31" spans="1:2" x14ac:dyDescent="0.25">
      <c r="A31" t="s">
        <v>66</v>
      </c>
      <c r="B31">
        <v>2</v>
      </c>
    </row>
    <row r="32" spans="1:2" x14ac:dyDescent="0.25">
      <c r="A32" t="s">
        <v>157</v>
      </c>
      <c r="B32">
        <v>2</v>
      </c>
    </row>
    <row r="33" spans="1:2" x14ac:dyDescent="0.25">
      <c r="A33" t="s">
        <v>79</v>
      </c>
      <c r="B33">
        <v>2</v>
      </c>
    </row>
    <row r="34" spans="1:2" x14ac:dyDescent="0.25">
      <c r="A34" t="s">
        <v>163</v>
      </c>
      <c r="B34">
        <v>1</v>
      </c>
    </row>
    <row r="35" spans="1:2" x14ac:dyDescent="0.25">
      <c r="A35" t="s">
        <v>25</v>
      </c>
      <c r="B35">
        <v>1</v>
      </c>
    </row>
    <row r="36" spans="1:2" x14ac:dyDescent="0.25">
      <c r="A36" t="s">
        <v>145</v>
      </c>
      <c r="B36">
        <v>1</v>
      </c>
    </row>
    <row r="37" spans="1:2" x14ac:dyDescent="0.25">
      <c r="A37" t="s">
        <v>129</v>
      </c>
      <c r="B37">
        <v>1</v>
      </c>
    </row>
    <row r="38" spans="1:2" x14ac:dyDescent="0.25">
      <c r="A38" t="s">
        <v>164</v>
      </c>
      <c r="B38">
        <v>1</v>
      </c>
    </row>
    <row r="39" spans="1:2" x14ac:dyDescent="0.25">
      <c r="A39" t="s">
        <v>68</v>
      </c>
      <c r="B39">
        <v>1</v>
      </c>
    </row>
    <row r="40" spans="1:2" x14ac:dyDescent="0.25">
      <c r="A40" t="s">
        <v>160</v>
      </c>
      <c r="B40">
        <v>1</v>
      </c>
    </row>
    <row r="41" spans="1:2" x14ac:dyDescent="0.25">
      <c r="A41" t="s">
        <v>151</v>
      </c>
      <c r="B41">
        <v>1</v>
      </c>
    </row>
    <row r="42" spans="1:2" x14ac:dyDescent="0.25">
      <c r="A42" t="s">
        <v>26</v>
      </c>
      <c r="B42">
        <v>1</v>
      </c>
    </row>
    <row r="43" spans="1:2" x14ac:dyDescent="0.25">
      <c r="A43" t="s">
        <v>140</v>
      </c>
      <c r="B43">
        <v>1</v>
      </c>
    </row>
    <row r="44" spans="1:2" x14ac:dyDescent="0.25">
      <c r="A44" t="s">
        <v>158</v>
      </c>
      <c r="B44">
        <v>1</v>
      </c>
    </row>
    <row r="45" spans="1:2" x14ac:dyDescent="0.25">
      <c r="A45" t="s">
        <v>159</v>
      </c>
      <c r="B45">
        <v>1</v>
      </c>
    </row>
    <row r="46" spans="1:2" x14ac:dyDescent="0.25">
      <c r="A46" t="s">
        <v>130</v>
      </c>
      <c r="B46">
        <v>1</v>
      </c>
    </row>
    <row r="47" spans="1:2" x14ac:dyDescent="0.25">
      <c r="A47" t="s">
        <v>50</v>
      </c>
      <c r="B47">
        <v>1</v>
      </c>
    </row>
    <row r="48" spans="1:2" x14ac:dyDescent="0.25">
      <c r="A48" t="s">
        <v>61</v>
      </c>
      <c r="B48">
        <v>1</v>
      </c>
    </row>
    <row r="49" spans="1:2" x14ac:dyDescent="0.25">
      <c r="A49" t="s">
        <v>131</v>
      </c>
      <c r="B49">
        <v>1</v>
      </c>
    </row>
    <row r="50" spans="1:2" x14ac:dyDescent="0.25">
      <c r="A50" t="s">
        <v>138</v>
      </c>
      <c r="B50">
        <v>1</v>
      </c>
    </row>
    <row r="51" spans="1:2" x14ac:dyDescent="0.25">
      <c r="A51" t="s">
        <v>152</v>
      </c>
      <c r="B51">
        <v>1</v>
      </c>
    </row>
    <row r="54" spans="1:2" x14ac:dyDescent="0.25">
      <c r="A54" s="8"/>
      <c r="B54" s="8"/>
    </row>
    <row r="55" spans="1:2" x14ac:dyDescent="0.25">
      <c r="A55" s="8"/>
      <c r="B55" s="8"/>
    </row>
    <row r="56" spans="1:2" x14ac:dyDescent="0.25">
      <c r="A56" s="8"/>
      <c r="B56" s="8"/>
    </row>
    <row r="57" spans="1:2" x14ac:dyDescent="0.25">
      <c r="A57" s="8"/>
      <c r="B57" s="8"/>
    </row>
    <row r="58" spans="1:2" x14ac:dyDescent="0.25">
      <c r="A58" s="8"/>
      <c r="B58" s="8"/>
    </row>
    <row r="59" spans="1:2" x14ac:dyDescent="0.25">
      <c r="A59" s="8"/>
      <c r="B59" s="8"/>
    </row>
    <row r="60" spans="1:2" x14ac:dyDescent="0.25">
      <c r="A60" s="8"/>
      <c r="B60" s="8"/>
    </row>
    <row r="61" spans="1:2" x14ac:dyDescent="0.25">
      <c r="A61" s="8"/>
      <c r="B61" s="8"/>
    </row>
    <row r="62" spans="1:2" x14ac:dyDescent="0.25">
      <c r="A62" s="8"/>
      <c r="B62" s="8"/>
    </row>
    <row r="63" spans="1:2" x14ac:dyDescent="0.25">
      <c r="A63" s="8"/>
      <c r="B63" s="8"/>
    </row>
    <row r="64" spans="1:2" x14ac:dyDescent="0.25">
      <c r="A64" s="8"/>
      <c r="B64" s="8"/>
    </row>
  </sheetData>
  <autoFilter ref="A1:B64" xr:uid="{00000000-0001-0000-0100-000000000000}"/>
  <sortState xmlns:xlrd2="http://schemas.microsoft.com/office/spreadsheetml/2017/richdata2" ref="A2:B64">
    <sortCondition descending="1" ref="B2:B64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184E1-412B-4842-957D-E03E1B8F2062}">
  <dimension ref="A3:B56"/>
  <sheetViews>
    <sheetView topLeftCell="A2" workbookViewId="0">
      <selection activeCell="B53" sqref="A4:B53"/>
    </sheetView>
  </sheetViews>
  <sheetFormatPr baseColWidth="10" defaultRowHeight="15" x14ac:dyDescent="0.25"/>
  <cols>
    <col min="1" max="1" width="24.140625" bestFit="1" customWidth="1"/>
    <col min="2" max="2" width="19" bestFit="1" customWidth="1"/>
  </cols>
  <sheetData>
    <row r="3" spans="1:2" x14ac:dyDescent="0.25">
      <c r="A3" s="9" t="s">
        <v>166</v>
      </c>
      <c r="B3" t="s">
        <v>169</v>
      </c>
    </row>
    <row r="4" spans="1:2" x14ac:dyDescent="0.25">
      <c r="A4" s="10" t="s">
        <v>163</v>
      </c>
      <c r="B4" s="11">
        <v>1</v>
      </c>
    </row>
    <row r="5" spans="1:2" x14ac:dyDescent="0.25">
      <c r="A5" s="10" t="s">
        <v>20</v>
      </c>
      <c r="B5" s="11">
        <v>10</v>
      </c>
    </row>
    <row r="6" spans="1:2" x14ac:dyDescent="0.25">
      <c r="A6" s="10" t="s">
        <v>52</v>
      </c>
      <c r="B6" s="11">
        <v>3</v>
      </c>
    </row>
    <row r="7" spans="1:2" x14ac:dyDescent="0.25">
      <c r="A7" s="10" t="s">
        <v>25</v>
      </c>
      <c r="B7" s="11">
        <v>1</v>
      </c>
    </row>
    <row r="8" spans="1:2" x14ac:dyDescent="0.25">
      <c r="A8" s="10" t="s">
        <v>48</v>
      </c>
      <c r="B8" s="11">
        <v>4</v>
      </c>
    </row>
    <row r="9" spans="1:2" x14ac:dyDescent="0.25">
      <c r="A9" s="10" t="s">
        <v>145</v>
      </c>
      <c r="B9" s="11">
        <v>1</v>
      </c>
    </row>
    <row r="10" spans="1:2" x14ac:dyDescent="0.25">
      <c r="A10" s="10" t="s">
        <v>117</v>
      </c>
      <c r="B10" s="11">
        <v>27</v>
      </c>
    </row>
    <row r="11" spans="1:2" x14ac:dyDescent="0.25">
      <c r="A11" s="10" t="s">
        <v>129</v>
      </c>
      <c r="B11" s="11">
        <v>1</v>
      </c>
    </row>
    <row r="12" spans="1:2" x14ac:dyDescent="0.25">
      <c r="A12" s="10" t="s">
        <v>164</v>
      </c>
      <c r="B12" s="11">
        <v>1</v>
      </c>
    </row>
    <row r="13" spans="1:2" x14ac:dyDescent="0.25">
      <c r="A13" s="10" t="s">
        <v>149</v>
      </c>
      <c r="B13" s="11">
        <v>11</v>
      </c>
    </row>
    <row r="14" spans="1:2" x14ac:dyDescent="0.25">
      <c r="A14" s="10" t="s">
        <v>29</v>
      </c>
      <c r="B14" s="11">
        <v>2</v>
      </c>
    </row>
    <row r="15" spans="1:2" x14ac:dyDescent="0.25">
      <c r="A15" s="10" t="s">
        <v>58</v>
      </c>
      <c r="B15" s="11">
        <v>5</v>
      </c>
    </row>
    <row r="16" spans="1:2" x14ac:dyDescent="0.25">
      <c r="A16" s="10" t="s">
        <v>68</v>
      </c>
      <c r="B16" s="11">
        <v>1</v>
      </c>
    </row>
    <row r="17" spans="1:2" x14ac:dyDescent="0.25">
      <c r="A17" s="10" t="s">
        <v>126</v>
      </c>
      <c r="B17" s="11">
        <v>3</v>
      </c>
    </row>
    <row r="18" spans="1:2" x14ac:dyDescent="0.25">
      <c r="A18" s="10" t="s">
        <v>34</v>
      </c>
      <c r="B18" s="11">
        <v>7</v>
      </c>
    </row>
    <row r="19" spans="1:2" x14ac:dyDescent="0.25">
      <c r="A19" s="10" t="s">
        <v>114</v>
      </c>
      <c r="B19" s="11">
        <v>9</v>
      </c>
    </row>
    <row r="20" spans="1:2" x14ac:dyDescent="0.25">
      <c r="A20" s="10" t="s">
        <v>160</v>
      </c>
      <c r="B20" s="11">
        <v>1</v>
      </c>
    </row>
    <row r="21" spans="1:2" x14ac:dyDescent="0.25">
      <c r="A21" s="10" t="s">
        <v>28</v>
      </c>
      <c r="B21" s="11">
        <v>15</v>
      </c>
    </row>
    <row r="22" spans="1:2" x14ac:dyDescent="0.25">
      <c r="A22" s="10" t="s">
        <v>151</v>
      </c>
      <c r="B22" s="11">
        <v>1</v>
      </c>
    </row>
    <row r="23" spans="1:2" x14ac:dyDescent="0.25">
      <c r="A23" s="10" t="s">
        <v>26</v>
      </c>
      <c r="B23" s="11">
        <v>1</v>
      </c>
    </row>
    <row r="24" spans="1:2" x14ac:dyDescent="0.25">
      <c r="A24" s="10" t="s">
        <v>156</v>
      </c>
      <c r="B24" s="11">
        <v>3</v>
      </c>
    </row>
    <row r="25" spans="1:2" x14ac:dyDescent="0.25">
      <c r="A25" s="10" t="s">
        <v>170</v>
      </c>
      <c r="B25" s="11">
        <v>4</v>
      </c>
    </row>
    <row r="26" spans="1:2" x14ac:dyDescent="0.25">
      <c r="A26" s="10" t="s">
        <v>69</v>
      </c>
      <c r="B26" s="11">
        <v>2</v>
      </c>
    </row>
    <row r="27" spans="1:2" x14ac:dyDescent="0.25">
      <c r="A27" s="10" t="s">
        <v>140</v>
      </c>
      <c r="B27" s="11">
        <v>1</v>
      </c>
    </row>
    <row r="28" spans="1:2" x14ac:dyDescent="0.25">
      <c r="A28" s="10" t="s">
        <v>62</v>
      </c>
      <c r="B28" s="11">
        <v>13</v>
      </c>
    </row>
    <row r="29" spans="1:2" x14ac:dyDescent="0.25">
      <c r="A29" s="10" t="s">
        <v>33</v>
      </c>
      <c r="B29" s="11">
        <v>4</v>
      </c>
    </row>
    <row r="30" spans="1:2" x14ac:dyDescent="0.25">
      <c r="A30" s="10" t="s">
        <v>22</v>
      </c>
      <c r="B30" s="11">
        <v>23</v>
      </c>
    </row>
    <row r="31" spans="1:2" x14ac:dyDescent="0.25">
      <c r="A31" s="10" t="s">
        <v>21</v>
      </c>
      <c r="B31" s="11">
        <v>4</v>
      </c>
    </row>
    <row r="32" spans="1:2" x14ac:dyDescent="0.25">
      <c r="A32" s="10" t="s">
        <v>161</v>
      </c>
      <c r="B32" s="11">
        <v>3</v>
      </c>
    </row>
    <row r="33" spans="1:2" x14ac:dyDescent="0.25">
      <c r="A33" s="10" t="s">
        <v>158</v>
      </c>
      <c r="B33" s="11">
        <v>1</v>
      </c>
    </row>
    <row r="34" spans="1:2" x14ac:dyDescent="0.25">
      <c r="A34" s="10" t="s">
        <v>150</v>
      </c>
      <c r="B34" s="11">
        <v>3</v>
      </c>
    </row>
    <row r="35" spans="1:2" x14ac:dyDescent="0.25">
      <c r="A35" s="10" t="s">
        <v>159</v>
      </c>
      <c r="B35" s="11">
        <v>1</v>
      </c>
    </row>
    <row r="36" spans="1:2" x14ac:dyDescent="0.25">
      <c r="A36" s="10" t="s">
        <v>49</v>
      </c>
      <c r="B36" s="11">
        <v>6</v>
      </c>
    </row>
    <row r="37" spans="1:2" x14ac:dyDescent="0.25">
      <c r="A37" s="10" t="s">
        <v>130</v>
      </c>
      <c r="B37" s="11">
        <v>1</v>
      </c>
    </row>
    <row r="38" spans="1:2" x14ac:dyDescent="0.25">
      <c r="A38" s="10" t="s">
        <v>155</v>
      </c>
      <c r="B38" s="11">
        <v>3</v>
      </c>
    </row>
    <row r="39" spans="1:2" x14ac:dyDescent="0.25">
      <c r="A39" s="10" t="s">
        <v>50</v>
      </c>
      <c r="B39" s="11">
        <v>1</v>
      </c>
    </row>
    <row r="40" spans="1:2" x14ac:dyDescent="0.25">
      <c r="A40" s="10" t="s">
        <v>61</v>
      </c>
      <c r="B40" s="11">
        <v>1</v>
      </c>
    </row>
    <row r="41" spans="1:2" x14ac:dyDescent="0.25">
      <c r="A41" s="10" t="s">
        <v>154</v>
      </c>
      <c r="B41" s="11">
        <v>5</v>
      </c>
    </row>
    <row r="42" spans="1:2" x14ac:dyDescent="0.25">
      <c r="A42" s="10" t="s">
        <v>115</v>
      </c>
      <c r="B42" s="11">
        <v>2</v>
      </c>
    </row>
    <row r="43" spans="1:2" x14ac:dyDescent="0.25">
      <c r="A43" s="10" t="s">
        <v>23</v>
      </c>
      <c r="B43" s="11">
        <v>15</v>
      </c>
    </row>
    <row r="44" spans="1:2" x14ac:dyDescent="0.25">
      <c r="A44" s="10" t="s">
        <v>131</v>
      </c>
      <c r="B44" s="11">
        <v>1</v>
      </c>
    </row>
    <row r="45" spans="1:2" x14ac:dyDescent="0.25">
      <c r="A45" s="10" t="s">
        <v>36</v>
      </c>
      <c r="B45" s="11">
        <v>6</v>
      </c>
    </row>
    <row r="46" spans="1:2" x14ac:dyDescent="0.25">
      <c r="A46" s="10" t="s">
        <v>66</v>
      </c>
      <c r="B46" s="11">
        <v>2</v>
      </c>
    </row>
    <row r="47" spans="1:2" x14ac:dyDescent="0.25">
      <c r="A47" s="10" t="s">
        <v>35</v>
      </c>
      <c r="B47" s="11">
        <v>6</v>
      </c>
    </row>
    <row r="48" spans="1:2" x14ac:dyDescent="0.25">
      <c r="A48" s="10" t="s">
        <v>138</v>
      </c>
      <c r="B48" s="11">
        <v>1</v>
      </c>
    </row>
    <row r="49" spans="1:2" x14ac:dyDescent="0.25">
      <c r="A49" s="10" t="s">
        <v>27</v>
      </c>
      <c r="B49" s="11">
        <v>3</v>
      </c>
    </row>
    <row r="50" spans="1:2" x14ac:dyDescent="0.25">
      <c r="A50" s="10" t="s">
        <v>152</v>
      </c>
      <c r="B50" s="11">
        <v>1</v>
      </c>
    </row>
    <row r="51" spans="1:2" x14ac:dyDescent="0.25">
      <c r="A51" s="10" t="s">
        <v>60</v>
      </c>
      <c r="B51" s="11">
        <v>3</v>
      </c>
    </row>
    <row r="52" spans="1:2" x14ac:dyDescent="0.25">
      <c r="A52" s="10" t="s">
        <v>157</v>
      </c>
      <c r="B52" s="11">
        <v>2</v>
      </c>
    </row>
    <row r="53" spans="1:2" x14ac:dyDescent="0.25">
      <c r="A53" s="10" t="s">
        <v>79</v>
      </c>
      <c r="B53" s="11">
        <v>2</v>
      </c>
    </row>
    <row r="54" spans="1:2" x14ac:dyDescent="0.25">
      <c r="A54" s="10" t="s">
        <v>167</v>
      </c>
      <c r="B54" s="11"/>
    </row>
    <row r="55" spans="1:2" x14ac:dyDescent="0.25">
      <c r="A55" s="10">
        <v>0</v>
      </c>
      <c r="B55" s="11">
        <v>36</v>
      </c>
    </row>
    <row r="56" spans="1:2" x14ac:dyDescent="0.25">
      <c r="A56" s="10" t="s">
        <v>168</v>
      </c>
      <c r="B56" s="11">
        <v>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8E172-D6C4-44B9-906D-5DD2DCF80D95}">
  <dimension ref="B1:B265"/>
  <sheetViews>
    <sheetView workbookViewId="0">
      <selection activeCell="C38" sqref="C38"/>
    </sheetView>
  </sheetViews>
  <sheetFormatPr baseColWidth="10" defaultRowHeight="15" x14ac:dyDescent="0.25"/>
  <cols>
    <col min="1" max="1" width="17.5703125" bestFit="1" customWidth="1"/>
    <col min="2" max="2" width="20.42578125" bestFit="1" customWidth="1"/>
    <col min="3" max="3" width="16.140625" bestFit="1" customWidth="1"/>
    <col min="4" max="4" width="11.140625" bestFit="1" customWidth="1"/>
    <col min="5" max="5" width="11.5703125" bestFit="1" customWidth="1"/>
    <col min="6" max="6" width="17.5703125" bestFit="1" customWidth="1"/>
    <col min="7" max="7" width="8.42578125" bestFit="1" customWidth="1"/>
    <col min="8" max="8" width="8.28515625" bestFit="1" customWidth="1"/>
    <col min="9" max="9" width="14.42578125" bestFit="1" customWidth="1"/>
    <col min="10" max="10" width="13.42578125" bestFit="1" customWidth="1"/>
    <col min="11" max="11" width="10.140625" bestFit="1" customWidth="1"/>
    <col min="12" max="12" width="15.140625" bestFit="1" customWidth="1"/>
    <col min="13" max="14" width="10" bestFit="1" customWidth="1"/>
    <col min="15" max="15" width="9.7109375" bestFit="1" customWidth="1"/>
    <col min="16" max="16" width="14.85546875" bestFit="1" customWidth="1"/>
    <col min="17" max="17" width="8.5703125" bestFit="1" customWidth="1"/>
    <col min="18" max="18" width="12" bestFit="1" customWidth="1"/>
    <col min="19" max="19" width="6.140625" bestFit="1" customWidth="1"/>
    <col min="20" max="20" width="9.42578125" bestFit="1" customWidth="1"/>
    <col min="21" max="21" width="14.140625" bestFit="1" customWidth="1"/>
    <col min="22" max="22" width="8.5703125" bestFit="1" customWidth="1"/>
    <col min="23" max="23" width="7.5703125" bestFit="1" customWidth="1"/>
    <col min="24" max="24" width="14.85546875" bestFit="1" customWidth="1"/>
    <col min="25" max="25" width="11" bestFit="1" customWidth="1"/>
    <col min="26" max="26" width="12.5703125" bestFit="1" customWidth="1"/>
  </cols>
  <sheetData>
    <row r="1" spans="2:2" x14ac:dyDescent="0.25">
      <c r="B1" t="s">
        <v>165</v>
      </c>
    </row>
    <row r="2" spans="2:2" x14ac:dyDescent="0.25">
      <c r="B2" s="2" t="str">
        <f>Resultados!J2</f>
        <v>Aerodactyl</v>
      </c>
    </row>
    <row r="3" spans="2:2" x14ac:dyDescent="0.25">
      <c r="B3" s="2" t="str">
        <f>Resultados!J3</f>
        <v>Arcanine</v>
      </c>
    </row>
    <row r="4" spans="2:2" x14ac:dyDescent="0.25">
      <c r="B4" s="2" t="str">
        <f>Resultados!J4</f>
        <v>Kangaskhan Mega</v>
      </c>
    </row>
    <row r="5" spans="2:2" x14ac:dyDescent="0.25">
      <c r="B5" s="2" t="str">
        <f>Resultados!J5</f>
        <v>Charizard_Mega_Y</v>
      </c>
    </row>
    <row r="6" spans="2:2" x14ac:dyDescent="0.25">
      <c r="B6" s="2">
        <f>Resultados!J6</f>
        <v>0</v>
      </c>
    </row>
    <row r="7" spans="2:2" x14ac:dyDescent="0.25">
      <c r="B7" s="2">
        <f>Resultados!J7</f>
        <v>0</v>
      </c>
    </row>
    <row r="8" spans="2:2" x14ac:dyDescent="0.25">
      <c r="B8" s="2" t="str">
        <f>Resultados!J8</f>
        <v>Venusaur Mega</v>
      </c>
    </row>
    <row r="9" spans="2:2" x14ac:dyDescent="0.25">
      <c r="B9" s="2" t="str">
        <f>Resultados!J9</f>
        <v>Aerodactyl Mega</v>
      </c>
    </row>
    <row r="10" spans="2:2" x14ac:dyDescent="0.25">
      <c r="B10" s="2" t="str">
        <f>Resultados!J10</f>
        <v>Pelipper</v>
      </c>
    </row>
    <row r="11" spans="2:2" x14ac:dyDescent="0.25">
      <c r="B11" s="2" t="str">
        <f>Resultados!J11</f>
        <v>Venusaur</v>
      </c>
    </row>
    <row r="12" spans="2:2" x14ac:dyDescent="0.25">
      <c r="B12" s="2" t="str">
        <f>Resultados!J12</f>
        <v>Gardevoir</v>
      </c>
    </row>
    <row r="13" spans="2:2" x14ac:dyDescent="0.25">
      <c r="B13" s="2" t="str">
        <f>Resultados!J13</f>
        <v>Incineroar</v>
      </c>
    </row>
    <row r="14" spans="2:2" x14ac:dyDescent="0.25">
      <c r="B14" s="2" t="str">
        <f>Resultados!J14</f>
        <v>Talonflame</v>
      </c>
    </row>
    <row r="15" spans="2:2" x14ac:dyDescent="0.25">
      <c r="B15" s="2" t="str">
        <f>Resultados!J15</f>
        <v>Gardevoir Mega</v>
      </c>
    </row>
    <row r="16" spans="2:2" x14ac:dyDescent="0.25">
      <c r="B16" s="2" t="str">
        <f>Resultados!J16</f>
        <v>Whimsicott</v>
      </c>
    </row>
    <row r="17" spans="2:2" x14ac:dyDescent="0.25">
      <c r="B17" s="2" t="str">
        <f>Resultados!J17</f>
        <v>Aerodactyl Mega</v>
      </c>
    </row>
    <row r="18" spans="2:2" x14ac:dyDescent="0.25">
      <c r="B18" s="2">
        <f>Resultados!J18</f>
        <v>0</v>
      </c>
    </row>
    <row r="19" spans="2:2" x14ac:dyDescent="0.25">
      <c r="B19" s="2">
        <f>Resultados!J19</f>
        <v>0</v>
      </c>
    </row>
    <row r="20" spans="2:2" x14ac:dyDescent="0.25">
      <c r="B20" s="2" t="str">
        <f>Resultados!J20</f>
        <v>Floette-Eternal</v>
      </c>
    </row>
    <row r="21" spans="2:2" x14ac:dyDescent="0.25">
      <c r="B21" s="2" t="str">
        <f>Resultados!J21</f>
        <v>Gengar mega</v>
      </c>
    </row>
    <row r="22" spans="2:2" x14ac:dyDescent="0.25">
      <c r="B22" s="2" t="str">
        <f>Resultados!J22</f>
        <v>Kangaskhan Mega</v>
      </c>
    </row>
    <row r="23" spans="2:2" x14ac:dyDescent="0.25">
      <c r="B23" s="2" t="str">
        <f>Resultados!J23</f>
        <v>Charizard_Mega_Y</v>
      </c>
    </row>
    <row r="24" spans="2:2" x14ac:dyDescent="0.25">
      <c r="B24" s="2" t="str">
        <f>Resultados!J24</f>
        <v>Charizard_Mega_Y</v>
      </c>
    </row>
    <row r="25" spans="2:2" x14ac:dyDescent="0.25">
      <c r="B25" s="2" t="str">
        <f>Resultados!J25</f>
        <v>Kingambit</v>
      </c>
    </row>
    <row r="26" spans="2:2" x14ac:dyDescent="0.25">
      <c r="B26" s="2" t="str">
        <f>Resultados!J26</f>
        <v>Kangaskhan mega</v>
      </c>
    </row>
    <row r="27" spans="2:2" x14ac:dyDescent="0.25">
      <c r="B27" s="2" t="str">
        <f>Resultados!J27</f>
        <v>ninetales_alola</v>
      </c>
    </row>
    <row r="28" spans="2:2" x14ac:dyDescent="0.25">
      <c r="B28" s="2">
        <f>Resultados!J28</f>
        <v>0</v>
      </c>
    </row>
    <row r="29" spans="2:2" x14ac:dyDescent="0.25">
      <c r="B29" s="2">
        <f>Resultados!J29</f>
        <v>0</v>
      </c>
    </row>
    <row r="30" spans="2:2" x14ac:dyDescent="0.25">
      <c r="B30" s="2" t="str">
        <f>Resultados!J30</f>
        <v>Farigiraf</v>
      </c>
    </row>
    <row r="31" spans="2:2" x14ac:dyDescent="0.25">
      <c r="B31" s="2" t="str">
        <f>Resultados!J31</f>
        <v>Charizard_Mega_Y</v>
      </c>
    </row>
    <row r="32" spans="2:2" x14ac:dyDescent="0.25">
      <c r="B32" s="2" t="str">
        <f>Resultados!J32</f>
        <v>Floette-Eternal</v>
      </c>
    </row>
    <row r="33" spans="2:2" x14ac:dyDescent="0.25">
      <c r="B33" s="2" t="str">
        <f>Resultados!J33</f>
        <v>Charizard_Mega_Y</v>
      </c>
    </row>
    <row r="34" spans="2:2" x14ac:dyDescent="0.25">
      <c r="B34" s="2" t="str">
        <f>Resultados!J34</f>
        <v>Aerodactyl</v>
      </c>
    </row>
    <row r="35" spans="2:2" x14ac:dyDescent="0.25">
      <c r="B35" s="2" t="str">
        <f>Resultados!J35</f>
        <v>Charizard_Mega_Y</v>
      </c>
    </row>
    <row r="36" spans="2:2" x14ac:dyDescent="0.25">
      <c r="B36" s="2" t="str">
        <f>Resultados!J36</f>
        <v>Tyranitar</v>
      </c>
    </row>
    <row r="37" spans="2:2" x14ac:dyDescent="0.25">
      <c r="B37" s="2" t="str">
        <f>Resultados!J37</f>
        <v>Tyranitar</v>
      </c>
    </row>
    <row r="38" spans="2:2" x14ac:dyDescent="0.25">
      <c r="B38" s="2" t="str">
        <f>Resultados!J38</f>
        <v>Charizard_Mega_Y</v>
      </c>
    </row>
    <row r="39" spans="2:2" x14ac:dyDescent="0.25">
      <c r="B39" s="2" t="str">
        <f>Resultados!J39</f>
        <v>Blastoise</v>
      </c>
    </row>
    <row r="40" spans="2:2" x14ac:dyDescent="0.25">
      <c r="B40" s="2" t="str">
        <f>Resultados!J40</f>
        <v>Kingambit</v>
      </c>
    </row>
    <row r="41" spans="2:2" x14ac:dyDescent="0.25">
      <c r="B41" s="2" t="str">
        <f>Resultados!J41</f>
        <v>Tyranitar Mega</v>
      </c>
    </row>
    <row r="42" spans="2:2" x14ac:dyDescent="0.25">
      <c r="B42" s="2" t="str">
        <f>Resultados!J42</f>
        <v>Typhlosion Hisui</v>
      </c>
    </row>
    <row r="43" spans="2:2" x14ac:dyDescent="0.25">
      <c r="B43" s="2" t="str">
        <f>Resultados!J43</f>
        <v>palafin_hero</v>
      </c>
    </row>
    <row r="44" spans="2:2" x14ac:dyDescent="0.25">
      <c r="B44" s="2" t="str">
        <f>Resultados!J44</f>
        <v>Aerodactyl</v>
      </c>
    </row>
    <row r="45" spans="2:2" x14ac:dyDescent="0.25">
      <c r="B45" s="2" t="str">
        <f>Resultados!J45</f>
        <v>Charizard_Mega_Y</v>
      </c>
    </row>
    <row r="46" spans="2:2" x14ac:dyDescent="0.25">
      <c r="B46" s="2" t="str">
        <f>Resultados!K2</f>
        <v>Kommo-o</v>
      </c>
    </row>
    <row r="47" spans="2:2" x14ac:dyDescent="0.25">
      <c r="B47" s="2" t="str">
        <f>Resultados!K3</f>
        <v>Gardevoir mega</v>
      </c>
    </row>
    <row r="48" spans="2:2" x14ac:dyDescent="0.25">
      <c r="B48" s="2" t="str">
        <f>Resultados!K4</f>
        <v>Farigiraf</v>
      </c>
    </row>
    <row r="49" spans="2:2" x14ac:dyDescent="0.25">
      <c r="B49" s="2" t="str">
        <f>Resultados!K5</f>
        <v>Floette-Eternal</v>
      </c>
    </row>
    <row r="50" spans="2:2" x14ac:dyDescent="0.25">
      <c r="B50" s="2">
        <f>Resultados!K6</f>
        <v>0</v>
      </c>
    </row>
    <row r="51" spans="2:2" x14ac:dyDescent="0.25">
      <c r="B51" s="2">
        <f>Resultados!K7</f>
        <v>0</v>
      </c>
    </row>
    <row r="52" spans="2:2" x14ac:dyDescent="0.25">
      <c r="B52" s="2" t="str">
        <f>Resultados!K8</f>
        <v>Archaludon</v>
      </c>
    </row>
    <row r="53" spans="2:2" x14ac:dyDescent="0.25">
      <c r="B53" s="2" t="str">
        <f>Resultados!K9</f>
        <v>Scovillan mega</v>
      </c>
    </row>
    <row r="54" spans="2:2" x14ac:dyDescent="0.25">
      <c r="B54" s="2" t="str">
        <f>Resultados!K10</f>
        <v>Basculegion-Male</v>
      </c>
    </row>
    <row r="55" spans="2:2" x14ac:dyDescent="0.25">
      <c r="B55" s="2" t="str">
        <f>Resultados!K11</f>
        <v>Scizor</v>
      </c>
    </row>
    <row r="56" spans="2:2" x14ac:dyDescent="0.25">
      <c r="B56" s="2" t="str">
        <f>Resultados!K12</f>
        <v>Garchomp</v>
      </c>
    </row>
    <row r="57" spans="2:2" x14ac:dyDescent="0.25">
      <c r="B57" s="2" t="str">
        <f>Resultados!K13</f>
        <v>Farigiraf</v>
      </c>
    </row>
    <row r="58" spans="2:2" x14ac:dyDescent="0.25">
      <c r="B58" s="2" t="str">
        <f>Resultados!K14</f>
        <v>Garchomp</v>
      </c>
    </row>
    <row r="59" spans="2:2" x14ac:dyDescent="0.25">
      <c r="B59" s="2" t="str">
        <f>Resultados!K15</f>
        <v>Sneasler</v>
      </c>
    </row>
    <row r="60" spans="2:2" x14ac:dyDescent="0.25">
      <c r="B60" s="2" t="str">
        <f>Resultados!K16</f>
        <v>Venusaur Mega</v>
      </c>
    </row>
    <row r="61" spans="2:2" x14ac:dyDescent="0.25">
      <c r="B61" s="2" t="str">
        <f>Resultados!K17</f>
        <v>Scovillan mega</v>
      </c>
    </row>
    <row r="62" spans="2:2" x14ac:dyDescent="0.25">
      <c r="B62" s="2">
        <f>Resultados!K18</f>
        <v>0</v>
      </c>
    </row>
    <row r="63" spans="2:2" x14ac:dyDescent="0.25">
      <c r="B63" s="2">
        <f>Resultados!K19</f>
        <v>0</v>
      </c>
    </row>
    <row r="64" spans="2:2" x14ac:dyDescent="0.25">
      <c r="B64" s="2" t="str">
        <f>Resultados!K20</f>
        <v>Aerodactyl</v>
      </c>
    </row>
    <row r="65" spans="2:2" x14ac:dyDescent="0.25">
      <c r="B65" s="2" t="str">
        <f>Resultados!K21</f>
        <v>rotom_wash</v>
      </c>
    </row>
    <row r="66" spans="2:2" x14ac:dyDescent="0.25">
      <c r="B66" s="2" t="str">
        <f>Resultados!K22</f>
        <v>Torkoal</v>
      </c>
    </row>
    <row r="67" spans="2:2" x14ac:dyDescent="0.25">
      <c r="B67" s="2" t="str">
        <f>Resultados!K23</f>
        <v>Froslass Mega</v>
      </c>
    </row>
    <row r="68" spans="2:2" x14ac:dyDescent="0.25">
      <c r="B68" s="2" t="str">
        <f>Resultados!K24</f>
        <v>Kingambit</v>
      </c>
    </row>
    <row r="69" spans="2:2" x14ac:dyDescent="0.25">
      <c r="B69" s="2" t="str">
        <f>Resultados!K25</f>
        <v>ninetales_alola</v>
      </c>
    </row>
    <row r="70" spans="2:2" x14ac:dyDescent="0.25">
      <c r="B70" s="2" t="str">
        <f>Resultados!K26</f>
        <v>Farigiraf</v>
      </c>
    </row>
    <row r="71" spans="2:2" x14ac:dyDescent="0.25">
      <c r="B71" s="2" t="str">
        <f>Resultados!K27</f>
        <v>Sneasler</v>
      </c>
    </row>
    <row r="72" spans="2:2" x14ac:dyDescent="0.25">
      <c r="B72" s="2">
        <f>Resultados!K28</f>
        <v>0</v>
      </c>
    </row>
    <row r="73" spans="2:2" x14ac:dyDescent="0.25">
      <c r="B73" s="2">
        <f>Resultados!K29</f>
        <v>0</v>
      </c>
    </row>
    <row r="74" spans="2:2" x14ac:dyDescent="0.25">
      <c r="B74" s="2" t="str">
        <f>Resultados!K30</f>
        <v>Torkoal</v>
      </c>
    </row>
    <row r="75" spans="2:2" x14ac:dyDescent="0.25">
      <c r="B75" s="2" t="str">
        <f>Resultados!K31</f>
        <v>Sneasler</v>
      </c>
    </row>
    <row r="76" spans="2:2" x14ac:dyDescent="0.25">
      <c r="B76" s="2" t="str">
        <f>Resultados!K32</f>
        <v>Incineroar</v>
      </c>
    </row>
    <row r="77" spans="2:2" x14ac:dyDescent="0.25">
      <c r="B77" s="2" t="str">
        <f>Resultados!K33</f>
        <v>Floette-Eternal</v>
      </c>
    </row>
    <row r="78" spans="2:2" x14ac:dyDescent="0.25">
      <c r="B78" s="2" t="str">
        <f>Resultados!K34</f>
        <v>Floette-Eternal</v>
      </c>
    </row>
    <row r="79" spans="2:2" x14ac:dyDescent="0.25">
      <c r="B79" s="2" t="str">
        <f>Resultados!K35</f>
        <v>Farigiraf</v>
      </c>
    </row>
    <row r="80" spans="2:2" x14ac:dyDescent="0.25">
      <c r="B80" s="2" t="str">
        <f>Resultados!K36</f>
        <v>Excadrill</v>
      </c>
    </row>
    <row r="81" spans="2:2" x14ac:dyDescent="0.25">
      <c r="B81" s="2" t="str">
        <f>Resultados!K37</f>
        <v>Excadrill</v>
      </c>
    </row>
    <row r="82" spans="2:2" x14ac:dyDescent="0.25">
      <c r="B82" s="2" t="str">
        <f>Resultados!K38</f>
        <v>Aerodactyl</v>
      </c>
    </row>
    <row r="83" spans="2:2" x14ac:dyDescent="0.25">
      <c r="B83" s="2" t="str">
        <f>Resultados!K39</f>
        <v>Pelipper</v>
      </c>
    </row>
    <row r="84" spans="2:2" x14ac:dyDescent="0.25">
      <c r="B84" s="2" t="str">
        <f>Resultados!K40</f>
        <v>Aerodactyl Mega</v>
      </c>
    </row>
    <row r="85" spans="2:2" x14ac:dyDescent="0.25">
      <c r="B85" s="2" t="str">
        <f>Resultados!K41</f>
        <v>Floette-Eternal</v>
      </c>
    </row>
    <row r="86" spans="2:2" x14ac:dyDescent="0.25">
      <c r="B86" s="2" t="str">
        <f>Resultados!K42</f>
        <v>Gardevoir mega</v>
      </c>
    </row>
    <row r="87" spans="2:2" x14ac:dyDescent="0.25">
      <c r="B87" s="2" t="str">
        <f>Resultados!K43</f>
        <v>Pelipper</v>
      </c>
    </row>
    <row r="88" spans="2:2" x14ac:dyDescent="0.25">
      <c r="B88" s="2" t="str">
        <f>Resultados!K44</f>
        <v>Charizard_Mega_Y</v>
      </c>
    </row>
    <row r="89" spans="2:2" x14ac:dyDescent="0.25">
      <c r="B89" s="2" t="str">
        <f>Resultados!K45</f>
        <v>Aerodactyl</v>
      </c>
    </row>
    <row r="90" spans="2:2" x14ac:dyDescent="0.25">
      <c r="B90" s="2" t="str">
        <f>Resultados!L2</f>
        <v>Kingambit</v>
      </c>
    </row>
    <row r="91" spans="2:2" x14ac:dyDescent="0.25">
      <c r="B91" s="2" t="str">
        <f>Resultados!L3</f>
        <v>Tyranitar</v>
      </c>
    </row>
    <row r="92" spans="2:2" x14ac:dyDescent="0.25">
      <c r="B92" s="2" t="str">
        <f>Resultados!L4</f>
        <v>Basculegion-Male</v>
      </c>
    </row>
    <row r="93" spans="2:2" x14ac:dyDescent="0.25">
      <c r="B93" s="2" t="str">
        <f>Resultados!L5</f>
        <v>Aerodactyl</v>
      </c>
    </row>
    <row r="94" spans="2:2" x14ac:dyDescent="0.25">
      <c r="B94" s="2">
        <f>Resultados!L6</f>
        <v>0</v>
      </c>
    </row>
    <row r="95" spans="2:2" x14ac:dyDescent="0.25">
      <c r="B95" s="2">
        <f>Resultados!L7</f>
        <v>0</v>
      </c>
    </row>
    <row r="96" spans="2:2" x14ac:dyDescent="0.25">
      <c r="B96" s="2" t="str">
        <f>Resultados!L8</f>
        <v>Pelipper</v>
      </c>
    </row>
    <row r="97" spans="2:2" x14ac:dyDescent="0.25">
      <c r="B97" s="2" t="str">
        <f>Resultados!L9</f>
        <v>Kommo-o</v>
      </c>
    </row>
    <row r="98" spans="2:2" x14ac:dyDescent="0.25">
      <c r="B98" s="2" t="str">
        <f>Resultados!L10</f>
        <v>Dragonite</v>
      </c>
    </row>
    <row r="99" spans="2:2" x14ac:dyDescent="0.25">
      <c r="B99" s="2" t="str">
        <f>Resultados!L11</f>
        <v>Pelipper</v>
      </c>
    </row>
    <row r="100" spans="2:2" x14ac:dyDescent="0.25">
      <c r="B100" s="2" t="str">
        <f>Resultados!L12</f>
        <v>Talonflame</v>
      </c>
    </row>
    <row r="101" spans="2:2" x14ac:dyDescent="0.25">
      <c r="B101" s="2" t="str">
        <f>Resultados!L13</f>
        <v>Charizard_Mega_Y</v>
      </c>
    </row>
    <row r="102" spans="2:2" x14ac:dyDescent="0.25">
      <c r="B102" s="2" t="str">
        <f>Resultados!L14</f>
        <v>Sneasler</v>
      </c>
    </row>
    <row r="103" spans="2:2" x14ac:dyDescent="0.25">
      <c r="B103" s="2" t="str">
        <f>Resultados!L15</f>
        <v>Pelipper</v>
      </c>
    </row>
    <row r="104" spans="2:2" x14ac:dyDescent="0.25">
      <c r="B104" s="2" t="str">
        <f>Resultados!L16</f>
        <v>Charizard_Mega_Y</v>
      </c>
    </row>
    <row r="105" spans="2:2" x14ac:dyDescent="0.25">
      <c r="B105" s="2" t="str">
        <f>Resultados!L17</f>
        <v>Sneasler</v>
      </c>
    </row>
    <row r="106" spans="2:2" x14ac:dyDescent="0.25">
      <c r="B106" s="2">
        <f>Resultados!L18</f>
        <v>0</v>
      </c>
    </row>
    <row r="107" spans="2:2" x14ac:dyDescent="0.25">
      <c r="B107" s="2">
        <f>Resultados!L19</f>
        <v>0</v>
      </c>
    </row>
    <row r="108" spans="2:2" x14ac:dyDescent="0.25">
      <c r="B108" s="2" t="str">
        <f>Resultados!L20</f>
        <v>Sneasler</v>
      </c>
    </row>
    <row r="109" spans="2:2" x14ac:dyDescent="0.25">
      <c r="B109" s="2" t="str">
        <f>Resultados!L21</f>
        <v>Aegislash blade</v>
      </c>
    </row>
    <row r="110" spans="2:2" x14ac:dyDescent="0.25">
      <c r="B110" s="2" t="str">
        <f>Resultados!L22</f>
        <v>Farigiraf</v>
      </c>
    </row>
    <row r="111" spans="2:2" x14ac:dyDescent="0.25">
      <c r="B111" s="2" t="str">
        <f>Resultados!L23</f>
        <v>Aerodactyl</v>
      </c>
    </row>
    <row r="112" spans="2:2" x14ac:dyDescent="0.25">
      <c r="B112" s="2" t="str">
        <f>Resultados!L24</f>
        <v>Sneasler</v>
      </c>
    </row>
    <row r="113" spans="2:2" x14ac:dyDescent="0.25">
      <c r="B113" s="2" t="str">
        <f>Resultados!L25</f>
        <v>Gengar mega</v>
      </c>
    </row>
    <row r="114" spans="2:2" x14ac:dyDescent="0.25">
      <c r="B114" s="2" t="str">
        <f>Resultados!L26</f>
        <v>Torkoal</v>
      </c>
    </row>
    <row r="115" spans="2:2" x14ac:dyDescent="0.25">
      <c r="B115" s="2" t="str">
        <f>Resultados!L27</f>
        <v>Gengar mega</v>
      </c>
    </row>
    <row r="116" spans="2:2" x14ac:dyDescent="0.25">
      <c r="B116" s="2">
        <f>Resultados!L28</f>
        <v>0</v>
      </c>
    </row>
    <row r="117" spans="2:2" x14ac:dyDescent="0.25">
      <c r="B117" s="2">
        <f>Resultados!L29</f>
        <v>0</v>
      </c>
    </row>
    <row r="118" spans="2:2" x14ac:dyDescent="0.25">
      <c r="B118" s="2" t="str">
        <f>Resultados!L30</f>
        <v>Sylveon</v>
      </c>
    </row>
    <row r="119" spans="2:2" x14ac:dyDescent="0.25">
      <c r="B119" s="2" t="str">
        <f>Resultados!L31</f>
        <v>Basculegion-Male</v>
      </c>
    </row>
    <row r="120" spans="2:2" x14ac:dyDescent="0.25">
      <c r="B120" s="2" t="str">
        <f>Resultados!L32</f>
        <v>Camerupt mega</v>
      </c>
    </row>
    <row r="121" spans="2:2" x14ac:dyDescent="0.25">
      <c r="B121" s="2" t="str">
        <f>Resultados!L33</f>
        <v>Kingambit</v>
      </c>
    </row>
    <row r="122" spans="2:2" x14ac:dyDescent="0.25">
      <c r="B122" s="2" t="str">
        <f>Resultados!L34</f>
        <v>Garchomp</v>
      </c>
    </row>
    <row r="123" spans="2:2" x14ac:dyDescent="0.25">
      <c r="B123" s="2" t="str">
        <f>Resultados!L35</f>
        <v>Aerodactyl</v>
      </c>
    </row>
    <row r="124" spans="2:2" x14ac:dyDescent="0.25">
      <c r="B124" s="2" t="str">
        <f>Resultados!L36</f>
        <v>Sneasler</v>
      </c>
    </row>
    <row r="125" spans="2:2" x14ac:dyDescent="0.25">
      <c r="B125" s="2" t="str">
        <f>Resultados!L37</f>
        <v>Sneasler</v>
      </c>
    </row>
    <row r="126" spans="2:2" x14ac:dyDescent="0.25">
      <c r="B126" s="2" t="str">
        <f>Resultados!L38</f>
        <v>Kingambit</v>
      </c>
    </row>
    <row r="127" spans="2:2" x14ac:dyDescent="0.25">
      <c r="B127" s="2" t="str">
        <f>Resultados!L39</f>
        <v>Primarina</v>
      </c>
    </row>
    <row r="128" spans="2:2" x14ac:dyDescent="0.25">
      <c r="B128" s="2" t="str">
        <f>Resultados!L40</f>
        <v>Scovillan mega</v>
      </c>
    </row>
    <row r="129" spans="2:2" x14ac:dyDescent="0.25">
      <c r="B129" s="2" t="str">
        <f>Resultados!L41</f>
        <v>rotom_wash</v>
      </c>
    </row>
    <row r="130" spans="2:2" x14ac:dyDescent="0.25">
      <c r="B130" s="2" t="str">
        <f>Resultados!L42</f>
        <v>Incineroar</v>
      </c>
    </row>
    <row r="131" spans="2:2" x14ac:dyDescent="0.25">
      <c r="B131" s="2" t="str">
        <f>Resultados!L43</f>
        <v>Hydreigon</v>
      </c>
    </row>
    <row r="132" spans="2:2" x14ac:dyDescent="0.25">
      <c r="B132" s="2" t="str">
        <f>Resultados!L44</f>
        <v>Basculegion-Male</v>
      </c>
    </row>
    <row r="133" spans="2:2" x14ac:dyDescent="0.25">
      <c r="B133" s="2" t="str">
        <f>Resultados!L45</f>
        <v>Ariados</v>
      </c>
    </row>
    <row r="134" spans="2:2" x14ac:dyDescent="0.25">
      <c r="B134" s="2" t="str">
        <f>Resultados!M2</f>
        <v>Scovillan mega</v>
      </c>
    </row>
    <row r="135" spans="2:2" x14ac:dyDescent="0.25">
      <c r="B135" s="2" t="str">
        <f>Resultados!M3</f>
        <v>rotom_wash</v>
      </c>
    </row>
    <row r="136" spans="2:2" x14ac:dyDescent="0.25">
      <c r="B136" s="2" t="str">
        <f>Resultados!M4</f>
        <v>Torkoal</v>
      </c>
    </row>
    <row r="137" spans="2:2" x14ac:dyDescent="0.25">
      <c r="B137" s="2" t="str">
        <f>Resultados!M5</f>
        <v>Garchomp</v>
      </c>
    </row>
    <row r="138" spans="2:2" x14ac:dyDescent="0.25">
      <c r="B138" s="2">
        <f>Resultados!M6</f>
        <v>0</v>
      </c>
    </row>
    <row r="139" spans="2:2" x14ac:dyDescent="0.25">
      <c r="B139" s="2">
        <f>Resultados!M7</f>
        <v>0</v>
      </c>
    </row>
    <row r="140" spans="2:2" x14ac:dyDescent="0.25">
      <c r="B140" s="2" t="str">
        <f>Resultados!M8</f>
        <v>Basculegion-Male</v>
      </c>
    </row>
    <row r="141" spans="2:2" x14ac:dyDescent="0.25">
      <c r="B141" s="2" t="str">
        <f>Resultados!M9</f>
        <v>Sneasler</v>
      </c>
    </row>
    <row r="142" spans="2:2" x14ac:dyDescent="0.25">
      <c r="B142" s="2" t="str">
        <f>Resultados!M10</f>
        <v>Kingambit</v>
      </c>
    </row>
    <row r="143" spans="2:2" x14ac:dyDescent="0.25">
      <c r="B143" s="2" t="str">
        <f>Resultados!M11</f>
        <v>Basculegion-Male</v>
      </c>
    </row>
    <row r="144" spans="2:2" x14ac:dyDescent="0.25">
      <c r="B144" s="2" t="str">
        <f>Resultados!M12</f>
        <v>Basculegion-Male</v>
      </c>
    </row>
    <row r="145" spans="2:2" x14ac:dyDescent="0.25">
      <c r="B145" s="2" t="str">
        <f>Resultados!M13</f>
        <v>Drampa</v>
      </c>
    </row>
    <row r="146" spans="2:2" x14ac:dyDescent="0.25">
      <c r="B146" s="2" t="str">
        <f>Resultados!M14</f>
        <v>Basculegion-Male</v>
      </c>
    </row>
    <row r="147" spans="2:2" x14ac:dyDescent="0.25">
      <c r="B147" s="2" t="str">
        <f>Resultados!M15</f>
        <v>Incineroar</v>
      </c>
    </row>
    <row r="148" spans="2:2" x14ac:dyDescent="0.25">
      <c r="B148" s="2" t="str">
        <f>Resultados!M16</f>
        <v>Garchomp</v>
      </c>
    </row>
    <row r="149" spans="2:2" x14ac:dyDescent="0.25">
      <c r="B149" s="2" t="str">
        <f>Resultados!M17</f>
        <v>Basculegion-Male</v>
      </c>
    </row>
    <row r="150" spans="2:2" x14ac:dyDescent="0.25">
      <c r="B150" s="2">
        <f>Resultados!M18</f>
        <v>0</v>
      </c>
    </row>
    <row r="151" spans="2:2" x14ac:dyDescent="0.25">
      <c r="B151" s="2">
        <f>Resultados!M19</f>
        <v>0</v>
      </c>
    </row>
    <row r="152" spans="2:2" x14ac:dyDescent="0.25">
      <c r="B152" s="2" t="str">
        <f>Resultados!M20</f>
        <v>Incineroar</v>
      </c>
    </row>
    <row r="153" spans="2:2" x14ac:dyDescent="0.25">
      <c r="B153" s="2" t="str">
        <f>Resultados!M21</f>
        <v>ninetales_alola</v>
      </c>
    </row>
    <row r="154" spans="2:2" x14ac:dyDescent="0.25">
      <c r="B154" s="2" t="str">
        <f>Resultados!M22</f>
        <v>Hatterene</v>
      </c>
    </row>
    <row r="155" spans="2:2" x14ac:dyDescent="0.25">
      <c r="B155" s="2" t="str">
        <f>Resultados!M23</f>
        <v>Basculegion-Male</v>
      </c>
    </row>
    <row r="156" spans="2:2" x14ac:dyDescent="0.25">
      <c r="B156" s="2" t="str">
        <f>Resultados!M24</f>
        <v>Garchomp</v>
      </c>
    </row>
    <row r="157" spans="2:2" x14ac:dyDescent="0.25">
      <c r="B157" s="2" t="str">
        <f>Resultados!M25</f>
        <v>Dragonite</v>
      </c>
    </row>
    <row r="158" spans="2:2" x14ac:dyDescent="0.25">
      <c r="B158" s="2" t="str">
        <f>Resultados!M26</f>
        <v>Basculegion-Male</v>
      </c>
    </row>
    <row r="159" spans="2:2" x14ac:dyDescent="0.25">
      <c r="B159" s="2" t="str">
        <f>Resultados!M27</f>
        <v>Kingambit</v>
      </c>
    </row>
    <row r="160" spans="2:2" x14ac:dyDescent="0.25">
      <c r="B160" s="2">
        <f>Resultados!M28</f>
        <v>0</v>
      </c>
    </row>
    <row r="161" spans="2:2" x14ac:dyDescent="0.25">
      <c r="B161" s="2">
        <f>Resultados!M29</f>
        <v>0</v>
      </c>
    </row>
    <row r="162" spans="2:2" x14ac:dyDescent="0.25">
      <c r="B162" s="2" t="str">
        <f>Resultados!M30</f>
        <v>Kingambit</v>
      </c>
    </row>
    <row r="163" spans="2:2" x14ac:dyDescent="0.25">
      <c r="B163" s="2" t="str">
        <f>Resultados!M31</f>
        <v>Incineroar</v>
      </c>
    </row>
    <row r="164" spans="2:2" x14ac:dyDescent="0.25">
      <c r="B164" s="2" t="str">
        <f>Resultados!M32</f>
        <v>Sinitscha</v>
      </c>
    </row>
    <row r="165" spans="2:2" x14ac:dyDescent="0.25">
      <c r="B165" s="2" t="str">
        <f>Resultados!M33</f>
        <v>Basculegion-Male</v>
      </c>
    </row>
    <row r="166" spans="2:2" x14ac:dyDescent="0.25">
      <c r="B166" s="2" t="str">
        <f>Resultados!M34</f>
        <v>Basculegion-Male</v>
      </c>
    </row>
    <row r="167" spans="2:2" x14ac:dyDescent="0.25">
      <c r="B167" s="2" t="str">
        <f>Resultados!M35</f>
        <v>Sylveon</v>
      </c>
    </row>
    <row r="168" spans="2:2" x14ac:dyDescent="0.25">
      <c r="B168" s="2" t="str">
        <f>Resultados!M36</f>
        <v>Scovillan mega</v>
      </c>
    </row>
    <row r="169" spans="2:2" x14ac:dyDescent="0.25">
      <c r="B169" s="2" t="str">
        <f>Resultados!M37</f>
        <v>Incineroar</v>
      </c>
    </row>
    <row r="170" spans="2:2" x14ac:dyDescent="0.25">
      <c r="B170" s="2" t="str">
        <f>Resultados!M38</f>
        <v>Floette-Eternal</v>
      </c>
    </row>
    <row r="171" spans="2:2" x14ac:dyDescent="0.25">
      <c r="B171" s="2" t="str">
        <f>Resultados!M39</f>
        <v>Starmie</v>
      </c>
    </row>
    <row r="172" spans="2:2" x14ac:dyDescent="0.25">
      <c r="B172" s="2" t="str">
        <f>Resultados!M40</f>
        <v>Sneasler</v>
      </c>
    </row>
    <row r="173" spans="2:2" x14ac:dyDescent="0.25">
      <c r="B173" s="2" t="str">
        <f>Resultados!M41</f>
        <v>Excadrill</v>
      </c>
    </row>
    <row r="174" spans="2:2" x14ac:dyDescent="0.25">
      <c r="B174" s="2" t="str">
        <f>Resultados!M42</f>
        <v>Farigiraf</v>
      </c>
    </row>
    <row r="175" spans="2:2" x14ac:dyDescent="0.25">
      <c r="B175" s="2" t="str">
        <f>Resultados!M43</f>
        <v>maushold_family_of_four</v>
      </c>
    </row>
    <row r="176" spans="2:2" x14ac:dyDescent="0.25">
      <c r="B176" s="2" t="str">
        <f>Resultados!M44</f>
        <v>Garchomp</v>
      </c>
    </row>
    <row r="177" spans="2:2" x14ac:dyDescent="0.25">
      <c r="B177" s="2" t="str">
        <f>Resultados!M45</f>
        <v>Garchomp</v>
      </c>
    </row>
    <row r="178" spans="2:2" x14ac:dyDescent="0.25">
      <c r="B178" s="2" t="str">
        <f>Resultados!N2</f>
        <v>Sneasler</v>
      </c>
    </row>
    <row r="179" spans="2:2" x14ac:dyDescent="0.25">
      <c r="B179" s="2" t="str">
        <f>Resultados!N3</f>
        <v>Garchomp</v>
      </c>
    </row>
    <row r="180" spans="2:2" x14ac:dyDescent="0.25">
      <c r="B180" s="2" t="str">
        <f>Resultados!N4</f>
        <v>Kingambit</v>
      </c>
    </row>
    <row r="181" spans="2:2" x14ac:dyDescent="0.25">
      <c r="B181" s="2" t="str">
        <f>Resultados!N5</f>
        <v>Kingambit</v>
      </c>
    </row>
    <row r="182" spans="2:2" x14ac:dyDescent="0.25">
      <c r="B182" s="2">
        <f>Resultados!N6</f>
        <v>0</v>
      </c>
    </row>
    <row r="183" spans="2:2" x14ac:dyDescent="0.25">
      <c r="B183" s="2">
        <f>Resultados!N7</f>
        <v>0</v>
      </c>
    </row>
    <row r="184" spans="2:2" x14ac:dyDescent="0.25">
      <c r="B184" s="2" t="str">
        <f>Resultados!N8</f>
        <v>Sableye</v>
      </c>
    </row>
    <row r="185" spans="2:2" x14ac:dyDescent="0.25">
      <c r="B185" s="2" t="str">
        <f>Resultados!N9</f>
        <v>Kingambit</v>
      </c>
    </row>
    <row r="186" spans="2:2" x14ac:dyDescent="0.25">
      <c r="B186" s="2" t="str">
        <f>Resultados!N10</f>
        <v>Sneasler</v>
      </c>
    </row>
    <row r="187" spans="2:2" x14ac:dyDescent="0.25">
      <c r="B187" s="2" t="str">
        <f>Resultados!N11</f>
        <v>Archaludon</v>
      </c>
    </row>
    <row r="188" spans="2:2" x14ac:dyDescent="0.25">
      <c r="B188" s="2" t="str">
        <f>Resultados!N12</f>
        <v>Kingambit</v>
      </c>
    </row>
    <row r="189" spans="2:2" x14ac:dyDescent="0.25">
      <c r="B189" s="2" t="str">
        <f>Resultados!N13</f>
        <v>Torkoal</v>
      </c>
    </row>
    <row r="190" spans="2:2" x14ac:dyDescent="0.25">
      <c r="B190" s="2" t="str">
        <f>Resultados!N14</f>
        <v>Kingambit</v>
      </c>
    </row>
    <row r="191" spans="2:2" x14ac:dyDescent="0.25">
      <c r="B191" s="2" t="str">
        <f>Resultados!N15</f>
        <v>Basculegion-Male</v>
      </c>
    </row>
    <row r="192" spans="2:2" x14ac:dyDescent="0.25">
      <c r="B192" s="2" t="str">
        <f>Resultados!N16</f>
        <v>Basculegion-Male</v>
      </c>
    </row>
    <row r="193" spans="2:2" x14ac:dyDescent="0.25">
      <c r="B193" s="2" t="str">
        <f>Resultados!N17</f>
        <v>Kingambit</v>
      </c>
    </row>
    <row r="194" spans="2:2" x14ac:dyDescent="0.25">
      <c r="B194" s="2">
        <f>Resultados!N18</f>
        <v>0</v>
      </c>
    </row>
    <row r="195" spans="2:2" x14ac:dyDescent="0.25">
      <c r="B195" s="2">
        <f>Resultados!N19</f>
        <v>0</v>
      </c>
    </row>
    <row r="196" spans="2:2" x14ac:dyDescent="0.25">
      <c r="B196" s="2" t="str">
        <f>Resultados!N20</f>
        <v>Garchomp</v>
      </c>
    </row>
    <row r="197" spans="2:2" x14ac:dyDescent="0.25">
      <c r="B197" s="2" t="str">
        <f>Resultados!N21</f>
        <v>Garchomp</v>
      </c>
    </row>
    <row r="198" spans="2:2" x14ac:dyDescent="0.25">
      <c r="B198" s="2" t="str">
        <f>Resultados!N22</f>
        <v>Kingambit</v>
      </c>
    </row>
    <row r="199" spans="2:2" x14ac:dyDescent="0.25">
      <c r="B199" s="2" t="str">
        <f>Resultados!N23</f>
        <v>Kingambit</v>
      </c>
    </row>
    <row r="200" spans="2:2" x14ac:dyDescent="0.25">
      <c r="B200" s="2" t="str">
        <f>Resultados!N24</f>
        <v>Basculegion-Male</v>
      </c>
    </row>
    <row r="201" spans="2:2" x14ac:dyDescent="0.25">
      <c r="B201" s="2" t="str">
        <f>Resultados!N25</f>
        <v>Incineroar</v>
      </c>
    </row>
    <row r="202" spans="2:2" x14ac:dyDescent="0.25">
      <c r="B202" s="2" t="str">
        <f>Resultados!N26</f>
        <v>Kingambit</v>
      </c>
    </row>
    <row r="203" spans="2:2" x14ac:dyDescent="0.25">
      <c r="B203" s="2" t="str">
        <f>Resultados!N27</f>
        <v>Incineroar</v>
      </c>
    </row>
    <row r="204" spans="2:2" x14ac:dyDescent="0.25">
      <c r="B204" s="2">
        <f>Resultados!N28</f>
        <v>0</v>
      </c>
    </row>
    <row r="205" spans="2:2" x14ac:dyDescent="0.25">
      <c r="B205" s="2">
        <f>Resultados!N29</f>
        <v>0</v>
      </c>
    </row>
    <row r="206" spans="2:2" x14ac:dyDescent="0.25">
      <c r="B206" s="2" t="str">
        <f>Resultados!N30</f>
        <v>Basculegion-Male</v>
      </c>
    </row>
    <row r="207" spans="2:2" x14ac:dyDescent="0.25">
      <c r="B207" s="2" t="str">
        <f>Resultados!N31</f>
        <v>Venusaur</v>
      </c>
    </row>
    <row r="208" spans="2:2" x14ac:dyDescent="0.25">
      <c r="B208" s="2" t="str">
        <f>Resultados!N32</f>
        <v>maushold_family_of_four</v>
      </c>
    </row>
    <row r="209" spans="2:2" x14ac:dyDescent="0.25">
      <c r="B209" s="2" t="str">
        <f>Resultados!N33</f>
        <v>Aerodactyl</v>
      </c>
    </row>
    <row r="210" spans="2:2" x14ac:dyDescent="0.25">
      <c r="B210" s="2" t="str">
        <f>Resultados!N34</f>
        <v>Sneasler</v>
      </c>
    </row>
    <row r="211" spans="2:2" x14ac:dyDescent="0.25">
      <c r="B211" s="2" t="str">
        <f>Resultados!N35</f>
        <v>Basculegion-Male</v>
      </c>
    </row>
    <row r="212" spans="2:2" x14ac:dyDescent="0.25">
      <c r="B212" s="2" t="str">
        <f>Resultados!N36</f>
        <v>Corviknight</v>
      </c>
    </row>
    <row r="213" spans="2:2" x14ac:dyDescent="0.25">
      <c r="B213" s="2" t="str">
        <f>Resultados!N37</f>
        <v>Basculegion-Male</v>
      </c>
    </row>
    <row r="214" spans="2:2" x14ac:dyDescent="0.25">
      <c r="B214" s="2" t="str">
        <f>Resultados!N38</f>
        <v>Garchomp</v>
      </c>
    </row>
    <row r="215" spans="2:2" x14ac:dyDescent="0.25">
      <c r="B215" s="2" t="str">
        <f>Resultados!N39</f>
        <v>Archaludon</v>
      </c>
    </row>
    <row r="216" spans="2:2" x14ac:dyDescent="0.25">
      <c r="B216" s="2" t="str">
        <f>Resultados!N40</f>
        <v>Basculegion-Male</v>
      </c>
    </row>
    <row r="217" spans="2:2" x14ac:dyDescent="0.25">
      <c r="B217" s="2" t="str">
        <f>Resultados!N41</f>
        <v>Incineroar</v>
      </c>
    </row>
    <row r="218" spans="2:2" x14ac:dyDescent="0.25">
      <c r="B218" s="2" t="str">
        <f>Resultados!N42</f>
        <v>Garchomp mega</v>
      </c>
    </row>
    <row r="219" spans="2:2" x14ac:dyDescent="0.25">
      <c r="B219" s="2" t="str">
        <f>Resultados!N43</f>
        <v>Gengar mega</v>
      </c>
    </row>
    <row r="220" spans="2:2" x14ac:dyDescent="0.25">
      <c r="B220" s="2" t="str">
        <f>Resultados!N44</f>
        <v>Floette-Eternal</v>
      </c>
    </row>
    <row r="221" spans="2:2" x14ac:dyDescent="0.25">
      <c r="B221" s="2" t="str">
        <f>Resultados!N45</f>
        <v>Sylveon</v>
      </c>
    </row>
    <row r="222" spans="2:2" x14ac:dyDescent="0.25">
      <c r="B222" s="2" t="str">
        <f>Resultados!O2</f>
        <v>Basculegion-Male</v>
      </c>
    </row>
    <row r="223" spans="2:2" x14ac:dyDescent="0.25">
      <c r="B223" s="2" t="str">
        <f>Resultados!O3</f>
        <v>Corviknight</v>
      </c>
    </row>
    <row r="224" spans="2:2" x14ac:dyDescent="0.25">
      <c r="B224" s="2" t="str">
        <f>Resultados!O4</f>
        <v>Sylveon</v>
      </c>
    </row>
    <row r="225" spans="2:2" x14ac:dyDescent="0.25">
      <c r="B225" s="2" t="str">
        <f>Resultados!O5</f>
        <v>Basculegion-Male</v>
      </c>
    </row>
    <row r="226" spans="2:2" x14ac:dyDescent="0.25">
      <c r="B226" s="2">
        <f>Resultados!O6</f>
        <v>0</v>
      </c>
    </row>
    <row r="227" spans="2:2" x14ac:dyDescent="0.25">
      <c r="B227" s="2">
        <f>Resultados!O7</f>
        <v>0</v>
      </c>
    </row>
    <row r="228" spans="2:2" x14ac:dyDescent="0.25">
      <c r="B228" s="2" t="str">
        <f>Resultados!O8</f>
        <v>Kingambit</v>
      </c>
    </row>
    <row r="229" spans="2:2" x14ac:dyDescent="0.25">
      <c r="B229" s="2" t="str">
        <f>Resultados!O9</f>
        <v>Sylveon</v>
      </c>
    </row>
    <row r="230" spans="2:2" x14ac:dyDescent="0.25">
      <c r="B230" s="2" t="str">
        <f>Resultados!O10</f>
        <v>Archaludon</v>
      </c>
    </row>
    <row r="231" spans="2:2" x14ac:dyDescent="0.25">
      <c r="B231" s="2" t="str">
        <f>Resultados!O11</f>
        <v>Incineroar</v>
      </c>
    </row>
    <row r="232" spans="2:2" x14ac:dyDescent="0.25">
      <c r="B232" s="2" t="str">
        <f>Resultados!O12</f>
        <v>maushold_family_of_four</v>
      </c>
    </row>
    <row r="233" spans="2:2" x14ac:dyDescent="0.25">
      <c r="B233" s="2" t="str">
        <f>Resultados!O13</f>
        <v>Hatterene</v>
      </c>
    </row>
    <row r="234" spans="2:2" x14ac:dyDescent="0.25">
      <c r="B234" s="2" t="str">
        <f>Resultados!O14</f>
        <v>Floette-Eternal</v>
      </c>
    </row>
    <row r="235" spans="2:2" x14ac:dyDescent="0.25">
      <c r="B235" s="2" t="str">
        <f>Resultados!O15</f>
        <v>Kingambit</v>
      </c>
    </row>
    <row r="236" spans="2:2" x14ac:dyDescent="0.25">
      <c r="B236" s="2" t="str">
        <f>Resultados!O16</f>
        <v>Kingambit</v>
      </c>
    </row>
    <row r="237" spans="2:2" x14ac:dyDescent="0.25">
      <c r="B237" s="2" t="str">
        <f>Resultados!O17</f>
        <v>Kommo-O</v>
      </c>
    </row>
    <row r="238" spans="2:2" x14ac:dyDescent="0.25">
      <c r="B238" s="2">
        <f>Resultados!O18</f>
        <v>0</v>
      </c>
    </row>
    <row r="239" spans="2:2" x14ac:dyDescent="0.25">
      <c r="B239" s="2">
        <f>Resultados!O19</f>
        <v>0</v>
      </c>
    </row>
    <row r="240" spans="2:2" x14ac:dyDescent="0.25">
      <c r="B240" s="2" t="str">
        <f>Resultados!O20</f>
        <v>Basculegion-Male</v>
      </c>
    </row>
    <row r="241" spans="2:2" x14ac:dyDescent="0.25">
      <c r="B241" s="2" t="str">
        <f>Resultados!O21</f>
        <v>Incineroar</v>
      </c>
    </row>
    <row r="242" spans="2:2" x14ac:dyDescent="0.25">
      <c r="B242" s="2" t="str">
        <f>Resultados!O22</f>
        <v>Venusaur</v>
      </c>
    </row>
    <row r="243" spans="2:2" x14ac:dyDescent="0.25">
      <c r="B243" s="2" t="str">
        <f>Resultados!O23</f>
        <v>Dragonite</v>
      </c>
    </row>
    <row r="244" spans="2:2" x14ac:dyDescent="0.25">
      <c r="B244" s="2" t="str">
        <f>Resultados!O24</f>
        <v>Whimsicott</v>
      </c>
    </row>
    <row r="245" spans="2:2" x14ac:dyDescent="0.25">
      <c r="B245" s="2" t="str">
        <f>Resultados!O25</f>
        <v>Sneasler</v>
      </c>
    </row>
    <row r="246" spans="2:2" x14ac:dyDescent="0.25">
      <c r="B246" s="2" t="str">
        <f>Resultados!O26</f>
        <v>Sylveon</v>
      </c>
    </row>
    <row r="247" spans="2:2" x14ac:dyDescent="0.25">
      <c r="B247" s="2" t="str">
        <f>Resultados!O27</f>
        <v>Dragonite</v>
      </c>
    </row>
    <row r="248" spans="2:2" x14ac:dyDescent="0.25">
      <c r="B248" s="2">
        <f>Resultados!O28</f>
        <v>0</v>
      </c>
    </row>
    <row r="249" spans="2:2" x14ac:dyDescent="0.25">
      <c r="B249" s="2">
        <f>Resultados!O29</f>
        <v>0</v>
      </c>
    </row>
    <row r="250" spans="2:2" x14ac:dyDescent="0.25">
      <c r="B250" s="2" t="str">
        <f>Resultados!O30</f>
        <v>Kangaskhan Mega</v>
      </c>
    </row>
    <row r="251" spans="2:2" x14ac:dyDescent="0.25">
      <c r="B251" s="2" t="str">
        <f>Resultados!O31</f>
        <v>Garchomp</v>
      </c>
    </row>
    <row r="252" spans="2:2" x14ac:dyDescent="0.25">
      <c r="B252" s="2" t="str">
        <f>Resultados!O32</f>
        <v>mimikyu-disguised</v>
      </c>
    </row>
    <row r="253" spans="2:2" x14ac:dyDescent="0.25">
      <c r="B253" s="2" t="str">
        <f>Resultados!O33</f>
        <v>Garchomp</v>
      </c>
    </row>
    <row r="254" spans="2:2" x14ac:dyDescent="0.25">
      <c r="B254" s="2" t="str">
        <f>Resultados!O34</f>
        <v>Kingambit</v>
      </c>
    </row>
    <row r="255" spans="2:2" x14ac:dyDescent="0.25">
      <c r="B255" s="2" t="str">
        <f>Resultados!O35</f>
        <v>Garchomp</v>
      </c>
    </row>
    <row r="256" spans="2:2" x14ac:dyDescent="0.25">
      <c r="B256" s="2" t="str">
        <f>Resultados!O36</f>
        <v>Basculegion-Male</v>
      </c>
    </row>
    <row r="257" spans="2:2" x14ac:dyDescent="0.25">
      <c r="B257" s="2" t="str">
        <f>Resultados!O37</f>
        <v>Dragonite</v>
      </c>
    </row>
    <row r="258" spans="2:2" x14ac:dyDescent="0.25">
      <c r="B258" s="2" t="str">
        <f>Resultados!O38</f>
        <v>Basculegion-Male</v>
      </c>
    </row>
    <row r="259" spans="2:2" x14ac:dyDescent="0.25">
      <c r="B259" s="2" t="str">
        <f>Resultados!O39</f>
        <v>Basculegion-Male</v>
      </c>
    </row>
    <row r="260" spans="2:2" x14ac:dyDescent="0.25">
      <c r="B260" s="2" t="str">
        <f>Resultados!O40</f>
        <v>Kommo-o</v>
      </c>
    </row>
    <row r="261" spans="2:2" x14ac:dyDescent="0.25">
      <c r="B261" s="2" t="str">
        <f>Resultados!O41</f>
        <v>Sinitscha</v>
      </c>
    </row>
    <row r="262" spans="2:2" x14ac:dyDescent="0.25">
      <c r="B262" s="2" t="str">
        <f>Resultados!O42</f>
        <v>Torkoal</v>
      </c>
    </row>
    <row r="263" spans="2:2" x14ac:dyDescent="0.25">
      <c r="B263" s="2" t="str">
        <f>Resultados!O43</f>
        <v>Incineroar</v>
      </c>
    </row>
    <row r="264" spans="2:2" x14ac:dyDescent="0.25">
      <c r="B264" s="2" t="str">
        <f>Resultados!O44</f>
        <v>Kingambit</v>
      </c>
    </row>
    <row r="265" spans="2:2" x14ac:dyDescent="0.25">
      <c r="B265" s="2" t="str">
        <f>Resultados!O45</f>
        <v>Basculegion-Male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2026-05-12T19:13:19Z</dcterms:created>
  <dcterms:modified xsi:type="dcterms:W3CDTF">2026-05-12T21:37:32Z</dcterms:modified>
</cp:coreProperties>
</file>