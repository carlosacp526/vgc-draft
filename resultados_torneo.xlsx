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C9E7A65-3DFB-4A67-991E-06F3CDC0C59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sultados" sheetId="1" r:id="rId1"/>
    <sheet name="Pokémon Usage" sheetId="2" r:id="rId2"/>
    <sheet name="Hoja3" sheetId="3" r:id="rId3"/>
    <sheet name="dinamica" sheetId="4" r:id="rId4"/>
  </sheets>
  <definedNames>
    <definedName name="_xlnm._FilterDatabase" localSheetId="1" hidden="1">'Pokémon Usage'!$A$1:$B$64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5" i="4" l="1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<sst xmlns="http://schemas.openxmlformats.org/spreadsheetml/2006/main" count="1266" uniqueCount="269">
  <si>
    <t>Semana/Fecha</t>
  </si>
  <si>
    <t>Reportado por</t>
  </si>
  <si>
    <t>Resultado</t>
  </si>
  <si>
    <t>Equipo Ganador</t>
  </si>
  <si>
    <t>Equipo Perdedor</t>
  </si>
  <si>
    <t>Jugador</t>
  </si>
  <si>
    <t>Equipo</t>
  </si>
  <si>
    <t>Resultado Jugador</t>
  </si>
  <si>
    <t>Week</t>
  </si>
  <si>
    <t>Pokemon 1</t>
  </si>
  <si>
    <t>Pokemon 2</t>
  </si>
  <si>
    <t>Pokemon 3</t>
  </si>
  <si>
    <t>Pokemon 4</t>
  </si>
  <si>
    <t>Pokemon 5</t>
  </si>
  <si>
    <t>Pokemon 6</t>
  </si>
  <si>
    <t>08/05/2026</t>
  </si>
  <si>
    <t>WiWivgc</t>
  </si>
  <si>
    <t>Win Izi peruanos 2-0 BZE</t>
  </si>
  <si>
    <t>Izi peruanos</t>
  </si>
  <si>
    <t>BZE</t>
  </si>
  <si>
    <t>William Chochoca</t>
  </si>
  <si>
    <t>Aerodactyl</t>
  </si>
  <si>
    <t>kommo</t>
  </si>
  <si>
    <t>Kingambit</t>
  </si>
  <si>
    <t>Scovillan mega</t>
  </si>
  <si>
    <t>Sneasler</t>
  </si>
  <si>
    <t>Basculegion-Male</t>
  </si>
  <si>
    <t>Manuel Espiritu</t>
  </si>
  <si>
    <t>Arcanine</t>
  </si>
  <si>
    <t>Gardevoir Mega</t>
  </si>
  <si>
    <t>Tyranitar</t>
  </si>
  <si>
    <t>rotom_wash</t>
  </si>
  <si>
    <t>Garchomp</t>
  </si>
  <si>
    <t>Corviknight</t>
  </si>
  <si>
    <t>Gcerbat33</t>
  </si>
  <si>
    <t>Win BZE 2-0 Izi peruanos</t>
  </si>
  <si>
    <t>Sergio Aguirre</t>
  </si>
  <si>
    <t>Kangaskhan Mega</t>
  </si>
  <si>
    <t>Farigiraf</t>
  </si>
  <si>
    <t>Torkoal</t>
  </si>
  <si>
    <t>Sylveon</t>
  </si>
  <si>
    <t>Bryan Changa</t>
  </si>
  <si>
    <t>Charizard_Mega_Y</t>
  </si>
  <si>
    <t>Floette-Eternal</t>
  </si>
  <si>
    <t>09/05/2026</t>
  </si>
  <si>
    <t>Cogao</t>
  </si>
  <si>
    <t>MtDrumr 2-0 Daishiro (no show)</t>
  </si>
  <si>
    <t>MtDrumr</t>
  </si>
  <si>
    <t>Daishiro</t>
  </si>
  <si>
    <t>Yuanyo</t>
  </si>
  <si>
    <t>Win FBZ 2-0 TyM</t>
  </si>
  <si>
    <t>FBZ</t>
  </si>
  <si>
    <t>TyM</t>
  </si>
  <si>
    <t>Gabriel</t>
  </si>
  <si>
    <t>Venusaur Mega</t>
  </si>
  <si>
    <t>Archaludon</t>
  </si>
  <si>
    <t>Pelipper</t>
  </si>
  <si>
    <t>Sableye</t>
  </si>
  <si>
    <t>Jesus Pinto</t>
  </si>
  <si>
    <t>Aerodactyl Mega</t>
  </si>
  <si>
    <t>Rainer.M</t>
  </si>
  <si>
    <t>Win FakeoutSD 2-0 WishbornDragons</t>
  </si>
  <si>
    <t>FakeoutSD</t>
  </si>
  <si>
    <t>WishbornDragons</t>
  </si>
  <si>
    <t>Rainer</t>
  </si>
  <si>
    <t>Dragonite</t>
  </si>
  <si>
    <t>Gyisus</t>
  </si>
  <si>
    <t>Venusaur</t>
  </si>
  <si>
    <t>Scizor</t>
  </si>
  <si>
    <t>Incineroar</t>
  </si>
  <si>
    <t>SChonso17</t>
  </si>
  <si>
    <t>Win FakeoutSD 2-1 WishbornDragons</t>
  </si>
  <si>
    <t>Luis Alonso Coello</t>
  </si>
  <si>
    <t>Talonflame</t>
  </si>
  <si>
    <t>maushold_family_of_four</t>
  </si>
  <si>
    <t>Rodrigo Rodriguez Ruelas</t>
  </si>
  <si>
    <t>Drampa</t>
  </si>
  <si>
    <t>Hatterene</t>
  </si>
  <si>
    <t>sabergio15</t>
  </si>
  <si>
    <t>Win BZE 2-0 IZP</t>
  </si>
  <si>
    <t>IZP</t>
  </si>
  <si>
    <t>Giorgio Falconi</t>
  </si>
  <si>
    <t>Gonzalo Padilla</t>
  </si>
  <si>
    <t>Val</t>
  </si>
  <si>
    <t>Win T&amp;M 2-1 FBZ</t>
  </si>
  <si>
    <t>T&amp;M</t>
  </si>
  <si>
    <t>Italo</t>
  </si>
  <si>
    <t>Whimsicott</t>
  </si>
  <si>
    <t>Juanjo</t>
  </si>
  <si>
    <t>10/05/2026</t>
  </si>
  <si>
    <t>severed_ashe</t>
  </si>
  <si>
    <t>BZE No Show vs IZP</t>
  </si>
  <si>
    <t>Sam IZP</t>
  </si>
  <si>
    <t>Israel BZE</t>
  </si>
  <si>
    <t>RenzoNavarro</t>
  </si>
  <si>
    <t>Renzo</t>
  </si>
  <si>
    <t>Jr</t>
  </si>
  <si>
    <t>Gengar mega</t>
  </si>
  <si>
    <t>Aegislash blade</t>
  </si>
  <si>
    <t>ninetales_alola</t>
  </si>
  <si>
    <t>Mesquo14</t>
  </si>
  <si>
    <t>Win BZE 2-1 IZP</t>
  </si>
  <si>
    <t>Hanns</t>
  </si>
  <si>
    <t>Jesus</t>
  </si>
  <si>
    <t>Froslass Mega</t>
  </si>
  <si>
    <t>Itzer</t>
  </si>
  <si>
    <t>Win SS 2-0 PSG</t>
  </si>
  <si>
    <t>SS</t>
  </si>
  <si>
    <t>PSG</t>
  </si>
  <si>
    <t>Cristian Palante</t>
  </si>
  <si>
    <t>André Távara</t>
  </si>
  <si>
    <t>Cob25</t>
  </si>
  <si>
    <t>Win T&amp;M 2-0 FBZ</t>
  </si>
  <si>
    <t>Juan Silva (A25)</t>
  </si>
  <si>
    <t>Kangaskhan mega</t>
  </si>
  <si>
    <t>Luis Allasi (Pokelucho)</t>
  </si>
  <si>
    <t>Sebastian Solari</t>
  </si>
  <si>
    <t>Win SS 2-0 PSG (No show)</t>
  </si>
  <si>
    <t>Alfonso Huillcaya</t>
  </si>
  <si>
    <t>Pablo Verástegui</t>
  </si>
  <si>
    <t>Roberto Pozo</t>
  </si>
  <si>
    <t>Benjamin Ruiz</t>
  </si>
  <si>
    <t>11/05/2026</t>
  </si>
  <si>
    <t>WhoIsSkrollex</t>
  </si>
  <si>
    <t>Win SS 2-1 PSG</t>
  </si>
  <si>
    <t>Ernesto Serpa</t>
  </si>
  <si>
    <t>Camerupt mega</t>
  </si>
  <si>
    <t>Sinitscha</t>
  </si>
  <si>
    <t>mimikyu-disguised</t>
  </si>
  <si>
    <t>Carlos Verastegui</t>
  </si>
  <si>
    <t>Limonfito</t>
  </si>
  <si>
    <t>Win WSH 2-0 FakeOutSD</t>
  </si>
  <si>
    <t>WSH</t>
  </si>
  <si>
    <t>FakeOutSD</t>
  </si>
  <si>
    <t>Fito Pezán</t>
  </si>
  <si>
    <t>Héctor Acuña</t>
  </si>
  <si>
    <t>Rod</t>
  </si>
  <si>
    <t>Rodrigo Montoya</t>
  </si>
  <si>
    <t>Excadrill</t>
  </si>
  <si>
    <t>Bryan More</t>
  </si>
  <si>
    <t>Glauco Valdivieso</t>
  </si>
  <si>
    <t>Blastoise</t>
  </si>
  <si>
    <t>Primarina</t>
  </si>
  <si>
    <t>Starmie</t>
  </si>
  <si>
    <t>GonzAL-TH</t>
  </si>
  <si>
    <t>Win FSD 2-1 WSH</t>
  </si>
  <si>
    <t>FSD</t>
  </si>
  <si>
    <t>Gonzalo Barrera</t>
  </si>
  <si>
    <t>Gianfranco De Vettori</t>
  </si>
  <si>
    <t>Tyranitar Mega</t>
  </si>
  <si>
    <t>Diego Ortiz</t>
  </si>
  <si>
    <t>Typhlosion Hisui</t>
  </si>
  <si>
    <t>Garchomp mega</t>
  </si>
  <si>
    <t>Francisco Alca</t>
  </si>
  <si>
    <t>palafin_hero</t>
  </si>
  <si>
    <t>Hydreigon</t>
  </si>
  <si>
    <t>12/05/2026</t>
  </si>
  <si>
    <t>bloodycheese123</t>
  </si>
  <si>
    <t>Poketubi</t>
  </si>
  <si>
    <t>Jorge Baca</t>
  </si>
  <si>
    <t>Ariados</t>
  </si>
  <si>
    <t>16/05/2026</t>
  </si>
  <si>
    <t>Win TYM 2-0 BZE</t>
  </si>
  <si>
    <t>TYM</t>
  </si>
  <si>
    <t>Ferrito</t>
  </si>
  <si>
    <t>Garchomp Mega</t>
  </si>
  <si>
    <t>Chadou</t>
  </si>
  <si>
    <t>Win TYM 2-1 BZE</t>
  </si>
  <si>
    <t>Juan Silva</t>
  </si>
  <si>
    <t>Sinistcha</t>
  </si>
  <si>
    <t>Aggron</t>
  </si>
  <si>
    <t>Hunter Walls</t>
  </si>
  <si>
    <t>Win WishbornDragons 2-1 PSG</t>
  </si>
  <si>
    <t>Rotom Wash</t>
  </si>
  <si>
    <t>Froslass</t>
  </si>
  <si>
    <t>Fab</t>
  </si>
  <si>
    <t>Crabominable</t>
  </si>
  <si>
    <t>Gallade</t>
  </si>
  <si>
    <t>17/05/2026</t>
  </si>
  <si>
    <t>Win FakeOutSD 2-0 FBZ</t>
  </si>
  <si>
    <t>Scovillain Mega</t>
  </si>
  <si>
    <t>Kommo-o</t>
  </si>
  <si>
    <t>Charizard Mega Y</t>
  </si>
  <si>
    <t>Sebastian [GI]</t>
  </si>
  <si>
    <t>Win SS 2-1 IZP</t>
  </si>
  <si>
    <t>Glimmora</t>
  </si>
  <si>
    <t>Charizard Mega X</t>
  </si>
  <si>
    <t>DanielMarcelo [NEVG]</t>
  </si>
  <si>
    <t>Daniel M</t>
  </si>
  <si>
    <t>Luis Allasi</t>
  </si>
  <si>
    <t>Gengar</t>
  </si>
  <si>
    <t>Ninetales-Alola</t>
  </si>
  <si>
    <t>Luis</t>
  </si>
  <si>
    <t>Win IZP 2-1 SS</t>
  </si>
  <si>
    <t>Luis Nuñez</t>
  </si>
  <si>
    <t>Delphox Mega</t>
  </si>
  <si>
    <t>Gengar Mega</t>
  </si>
  <si>
    <t>Camerupt Mega</t>
  </si>
  <si>
    <t>Mimikyu</t>
  </si>
  <si>
    <t>Maushold</t>
  </si>
  <si>
    <t>Itzer [CODE]</t>
  </si>
  <si>
    <t>Win SS 2-0 IZP</t>
  </si>
  <si>
    <t>Mauricio Orales</t>
  </si>
  <si>
    <t>NotJysus</t>
  </si>
  <si>
    <t>Jesús Pinto</t>
  </si>
  <si>
    <t>Mathias Rivera</t>
  </si>
  <si>
    <t>Milotic</t>
  </si>
  <si>
    <t>freshmanyas</t>
  </si>
  <si>
    <t>Win FakeOutSD 2-1 FBZ</t>
  </si>
  <si>
    <t>Hector A</t>
  </si>
  <si>
    <t>Diego A</t>
  </si>
  <si>
    <t>Scizor Mega</t>
  </si>
  <si>
    <t>Marcelo Cueva</t>
  </si>
  <si>
    <t>Zero</t>
  </si>
  <si>
    <t>Win WishbornDragons 2-0 PSG</t>
  </si>
  <si>
    <t>Guti</t>
  </si>
  <si>
    <t>Aegislash</t>
  </si>
  <si>
    <t>Pablo</t>
  </si>
  <si>
    <t>Charizard Mega</t>
  </si>
  <si>
    <t>Gyarados</t>
  </si>
  <si>
    <t>saperoko10</t>
  </si>
  <si>
    <t>Saperoko</t>
  </si>
  <si>
    <t>Alexid</t>
  </si>
  <si>
    <t>Lopunny Mega</t>
  </si>
  <si>
    <t>Btonator</t>
  </si>
  <si>
    <t>Jeremy</t>
  </si>
  <si>
    <t>Blastoise Mega</t>
  </si>
  <si>
    <t>Vivillon</t>
  </si>
  <si>
    <t>Fan</t>
  </si>
  <si>
    <t>Glimmora Mega</t>
  </si>
  <si>
    <t>Floette-Eternal Mega</t>
  </si>
  <si>
    <t>18/05/2026</t>
  </si>
  <si>
    <t>UnBanLobitos</t>
  </si>
  <si>
    <t>Win BZE 2-1 TYM</t>
  </si>
  <si>
    <t>Manuel</t>
  </si>
  <si>
    <t>Snorlax</t>
  </si>
  <si>
    <t>Hawlucha Mega</t>
  </si>
  <si>
    <t>Politoed</t>
  </si>
  <si>
    <t>Lolo</t>
  </si>
  <si>
    <t>Fayer</t>
  </si>
  <si>
    <t>Alejandro</t>
  </si>
  <si>
    <t>Glauco</t>
  </si>
  <si>
    <t>Valentino</t>
  </si>
  <si>
    <t>Israel</t>
  </si>
  <si>
    <t>DiegoE06</t>
  </si>
  <si>
    <t>Diego E.</t>
  </si>
  <si>
    <t>Sebastián R.</t>
  </si>
  <si>
    <t>Palafin</t>
  </si>
  <si>
    <t>Yuanyo [NADA]</t>
  </si>
  <si>
    <t>Win FBZ 2-0 FakeOutSD</t>
  </si>
  <si>
    <t>Juan Mejia</t>
  </si>
  <si>
    <t>Hardi</t>
  </si>
  <si>
    <t>Tsareena</t>
  </si>
  <si>
    <t>Tauros-Paldea-Aqua</t>
  </si>
  <si>
    <t>Dragapult</t>
  </si>
  <si>
    <t>Matthew_10</t>
  </si>
  <si>
    <t>Win FBZ 2-1 FakeOutSD</t>
  </si>
  <si>
    <t>Matthew</t>
  </si>
  <si>
    <t>RainerM</t>
  </si>
  <si>
    <t>Dragonite Mega</t>
  </si>
  <si>
    <t>Pokémon</t>
  </si>
  <si>
    <t>Veces Usado</t>
  </si>
  <si>
    <t>pokemon</t>
  </si>
  <si>
    <t>Cuenta de pokemon</t>
  </si>
  <si>
    <t>(empty)</t>
  </si>
  <si>
    <t>Total Result</t>
  </si>
  <si>
    <t>Charizard_Mega_X</t>
  </si>
  <si>
    <t>Garchomp_Mega</t>
  </si>
  <si>
    <t>tauros_paldea_aqua_breed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</si>
</sst>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0" borderId="2" xfId="3" applyFont="1" applyBorder="1"/>
    <xf numFmtId="0" fontId="0" fillId="0" borderId="3" xfId="1" applyFont="1" applyBorder="1"/>
    <xf numFmtId="0" fontId="0" fillId="0" borderId="4" xfId="4" applyFont="1" applyBorder="1">
      <alignment horizontal="left"/>
    </xf>
    <xf numFmtId="0" fontId="5" fillId="0" borderId="5" xfId="2" applyBorder="1"/>
    <xf numFmtId="0" fontId="0" fillId="0" borderId="6" xfId="4" applyFont="1" applyBorder="1">
      <alignment horizontal="left"/>
    </xf>
    <xf numFmtId="0" fontId="5" fillId="0" borderId="7" xfId="2" applyBorder="1"/>
    <xf numFmtId="0" fontId="5" fillId="0" borderId="8" xfId="2" applyBorder="1"/>
    <xf numFmtId="0" fontId="1" fillId="0" borderId="9" xfId="5" applyFont="1" applyBorder="1">
      <alignment horizontal="left"/>
    </xf>
    <xf numFmtId="0" fontId="1" fillId="0" borderId="10" xfId="6" applyBorder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64" xr:uid="{00000000-000A-0000-FFFF-FFFF01000000}">
  <cacheSource type="worksheet">
    <worksheetSource ref="B1:B1048576" sheet="dinamica"/>
  </cacheSource>
  <cacheFields count="1">
    <cacheField name="pokemon" numFmtId="0">
      <sharedItems containsBlank="1" containsMixedTypes="1" containsNumber="1" containsInteger="1" minValue="0" maxValue="0" count="51">
        <n v="0"/>
        <s v="Aegislash blade"/>
        <s v="Aerodactyl"/>
        <s v="Aerodactyl Mega"/>
        <s v="Arcanine"/>
        <s v="Archaludon"/>
        <s v="Ariados"/>
        <s v="Basculegion-Male"/>
        <s v="Blastoise"/>
        <s v="Camerupt mega"/>
        <s v="Charizard_Mega_Y"/>
        <s v="Corviknight"/>
        <s v="Dragonite"/>
        <s v="Drampa"/>
        <s v="Excadrill"/>
        <s v="Farigiraf"/>
        <s v="Floette-Eternal"/>
        <s v="Froslass Mega"/>
        <s v="Garchomp"/>
        <s v="Garchomp mega"/>
        <s v="Gardevoir Mega"/>
        <s v="Gengar mega"/>
        <s v="Hatterene"/>
        <s v="Hydreigon"/>
        <s v="Incineroar"/>
        <s v="Kangaskhan Mega"/>
        <s v="Kingambit"/>
        <s v="kommo"/>
        <s v="maushold_family_of_four"/>
        <s v="mimikyu-disguised"/>
        <s v="ninetales_alola"/>
        <s v="palafin_hero"/>
        <s v="Pelipper"/>
        <s v="Primarina"/>
        <s v="rotom_wash"/>
        <s v="Sableye"/>
        <s v="Scizor"/>
        <s v="Scovillan mega"/>
        <s v="Sinitscha"/>
        <s v="Sneasler"/>
        <s v="Starmie"/>
        <s v="Sylveon"/>
        <s v="Talonflame"/>
        <s v="Torkoal"/>
        <s v="Typhlosion Hisui"/>
        <s v="Tyranitar"/>
        <s v="Tyranitar Mega"/>
        <s v="Venusaur"/>
        <s v="Venusaur Mega"/>
        <s v="Whimsicot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4">
  <r>
    <x v="2"/>
  </r>
  <r>
    <x v="4"/>
  </r>
  <r>
    <x v="25"/>
  </r>
  <r>
    <x v="10"/>
  </r>
  <r>
    <x v="0"/>
  </r>
  <r>
    <x v="0"/>
  </r>
  <r>
    <x v="48"/>
  </r>
  <r>
    <x v="3"/>
  </r>
  <r>
    <x v="32"/>
  </r>
  <r>
    <x v="47"/>
  </r>
  <r>
    <x v="20"/>
  </r>
  <r>
    <x v="24"/>
  </r>
  <r>
    <x v="42"/>
  </r>
  <r>
    <x v="20"/>
  </r>
  <r>
    <x v="49"/>
  </r>
  <r>
    <x v="3"/>
  </r>
  <r>
    <x v="0"/>
  </r>
  <r>
    <x v="0"/>
  </r>
  <r>
    <x v="16"/>
  </r>
  <r>
    <x v="21"/>
  </r>
  <r>
    <x v="25"/>
  </r>
  <r>
    <x v="10"/>
  </r>
  <r>
    <x v="10"/>
  </r>
  <r>
    <x v="26"/>
  </r>
  <r>
    <x v="25"/>
  </r>
  <r>
    <x v="30"/>
  </r>
  <r>
    <x v="0"/>
  </r>
  <r>
    <x v="0"/>
  </r>
  <r>
    <x v="15"/>
  </r>
  <r>
    <x v="10"/>
  </r>
  <r>
    <x v="16"/>
  </r>
  <r>
    <x v="10"/>
  </r>
  <r>
    <x v="2"/>
  </r>
  <r>
    <x v="10"/>
  </r>
  <r>
    <x v="45"/>
  </r>
  <r>
    <x v="45"/>
  </r>
  <r>
    <x v="10"/>
  </r>
  <r>
    <x v="8"/>
  </r>
  <r>
    <x v="26"/>
  </r>
  <r>
    <x v="46"/>
  </r>
  <r>
    <x v="44"/>
  </r>
  <r>
    <x v="31"/>
  </r>
  <r>
    <x v="2"/>
  </r>
  <r>
    <x v="10"/>
  </r>
  <r>
    <x v="27"/>
  </r>
  <r>
    <x v="20"/>
  </r>
  <r>
    <x v="15"/>
  </r>
  <r>
    <x v="16"/>
  </r>
  <r>
    <x v="0"/>
  </r>
  <r>
    <x v="0"/>
  </r>
  <r>
    <x v="5"/>
  </r>
  <r>
    <x v="37"/>
  </r>
  <r>
    <x v="7"/>
  </r>
  <r>
    <x v="36"/>
  </r>
  <r>
    <x v="18"/>
  </r>
  <r>
    <x v="15"/>
  </r>
  <r>
    <x v="18"/>
  </r>
  <r>
    <x v="39"/>
  </r>
  <r>
    <x v="48"/>
  </r>
  <r>
    <x v="37"/>
  </r>
  <r>
    <x v="0"/>
  </r>
  <r>
    <x v="0"/>
  </r>
  <r>
    <x v="2"/>
  </r>
  <r>
    <x v="34"/>
  </r>
  <r>
    <x v="43"/>
  </r>
  <r>
    <x v="17"/>
  </r>
  <r>
    <x v="26"/>
  </r>
  <r>
    <x v="30"/>
  </r>
  <r>
    <x v="15"/>
  </r>
  <r>
    <x v="39"/>
  </r>
  <r>
    <x v="0"/>
  </r>
  <r>
    <x v="0"/>
  </r>
  <r>
    <x v="43"/>
  </r>
  <r>
    <x v="39"/>
  </r>
  <r>
    <x v="24"/>
  </r>
  <r>
    <x v="16"/>
  </r>
  <r>
    <x v="16"/>
  </r>
  <r>
    <x v="15"/>
  </r>
  <r>
    <x v="14"/>
  </r>
  <r>
    <x v="14"/>
  </r>
  <r>
    <x v="2"/>
  </r>
  <r>
    <x v="32"/>
  </r>
  <r>
    <x v="3"/>
  </r>
  <r>
    <x v="16"/>
  </r>
  <r>
    <x v="20"/>
  </r>
  <r>
    <x v="32"/>
  </r>
  <r>
    <x v="10"/>
  </r>
  <r>
    <x v="2"/>
  </r>
  <r>
    <x v="26"/>
  </r>
  <r>
    <x v="45"/>
  </r>
  <r>
    <x v="7"/>
  </r>
  <r>
    <x v="2"/>
  </r>
  <r>
    <x v="0"/>
  </r>
  <r>
    <x v="0"/>
  </r>
  <r>
    <x v="32"/>
  </r>
  <r>
    <x v="27"/>
  </r>
  <r>
    <x v="12"/>
  </r>
  <r>
    <x v="32"/>
  </r>
  <r>
    <x v="42"/>
  </r>
  <r>
    <x v="10"/>
  </r>
  <r>
    <x v="39"/>
  </r>
  <r>
    <x v="32"/>
  </r>
  <r>
    <x v="10"/>
  </r>
  <r>
    <x v="39"/>
  </r>
  <r>
    <x v="0"/>
  </r>
  <r>
    <x v="0"/>
  </r>
  <r>
    <x v="39"/>
  </r>
  <r>
    <x v="1"/>
  </r>
  <r>
    <x v="15"/>
  </r>
  <r>
    <x v="2"/>
  </r>
  <r>
    <x v="39"/>
  </r>
  <r>
    <x v="21"/>
  </r>
  <r>
    <x v="43"/>
  </r>
  <r>
    <x v="21"/>
  </r>
  <r>
    <x v="0"/>
  </r>
  <r>
    <x v="0"/>
  </r>
  <r>
    <x v="41"/>
  </r>
  <r>
    <x v="7"/>
  </r>
  <r>
    <x v="9"/>
  </r>
  <r>
    <x v="26"/>
  </r>
  <r>
    <x v="18"/>
  </r>
  <r>
    <x v="2"/>
  </r>
  <r>
    <x v="39"/>
  </r>
  <r>
    <x v="39"/>
  </r>
  <r>
    <x v="26"/>
  </r>
  <r>
    <x v="33"/>
  </r>
  <r>
    <x v="37"/>
  </r>
  <r>
    <x v="34"/>
  </r>
  <r>
    <x v="24"/>
  </r>
  <r>
    <x v="23"/>
  </r>
  <r>
    <x v="7"/>
  </r>
  <r>
    <x v="6"/>
  </r>
  <r>
    <x v="37"/>
  </r>
  <r>
    <x v="34"/>
  </r>
  <r>
    <x v="43"/>
  </r>
  <r>
    <x v="18"/>
  </r>
  <r>
    <x v="0"/>
  </r>
  <r>
    <x v="0"/>
  </r>
  <r>
    <x v="7"/>
  </r>
  <r>
    <x v="39"/>
  </r>
  <r>
    <x v="26"/>
  </r>
  <r>
    <x v="7"/>
  </r>
  <r>
    <x v="7"/>
  </r>
  <r>
    <x v="13"/>
  </r>
  <r>
    <x v="7"/>
  </r>
  <r>
    <x v="24"/>
  </r>
  <r>
    <x v="18"/>
  </r>
  <r>
    <x v="7"/>
  </r>
  <r>
    <x v="0"/>
  </r>
  <r>
    <x v="0"/>
  </r>
  <r>
    <x v="24"/>
  </r>
  <r>
    <x v="30"/>
  </r>
  <r>
    <x v="22"/>
  </r>
  <r>
    <x v="7"/>
  </r>
  <r>
    <x v="18"/>
  </r>
  <r>
    <x v="12"/>
  </r>
  <r>
    <x v="7"/>
  </r>
  <r>
    <x v="26"/>
  </r>
  <r>
    <x v="0"/>
  </r>
  <r>
    <x v="0"/>
  </r>
  <r>
    <x v="26"/>
  </r>
  <r>
    <x v="24"/>
  </r>
  <r>
    <x v="38"/>
  </r>
  <r>
    <x v="7"/>
  </r>
  <r>
    <x v="7"/>
  </r>
  <r>
    <x v="41"/>
  </r>
  <r>
    <x v="37"/>
  </r>
  <r>
    <x v="24"/>
  </r>
  <r>
    <x v="16"/>
  </r>
  <r>
    <x v="40"/>
  </r>
  <r>
    <x v="39"/>
  </r>
  <r>
    <x v="14"/>
  </r>
  <r>
    <x v="15"/>
  </r>
  <r>
    <x v="28"/>
  </r>
  <r>
    <x v="18"/>
  </r>
  <r>
    <x v="18"/>
  </r>
  <r>
    <x v="39"/>
  </r>
  <r>
    <x v="18"/>
  </r>
  <r>
    <x v="26"/>
  </r>
  <r>
    <x v="26"/>
  </r>
  <r>
    <x v="0"/>
  </r>
  <r>
    <x v="0"/>
  </r>
  <r>
    <x v="35"/>
  </r>
  <r>
    <x v="26"/>
  </r>
  <r>
    <x v="39"/>
  </r>
  <r>
    <x v="5"/>
  </r>
  <r>
    <x v="26"/>
  </r>
  <r>
    <x v="43"/>
  </r>
  <r>
    <x v="26"/>
  </r>
  <r>
    <x v="7"/>
  </r>
  <r>
    <x v="7"/>
  </r>
  <r>
    <x v="26"/>
  </r>
  <r>
    <x v="0"/>
  </r>
  <r>
    <x v="0"/>
  </r>
  <r>
    <x v="18"/>
  </r>
  <r>
    <x v="18"/>
  </r>
  <r>
    <x v="26"/>
  </r>
  <r>
    <x v="26"/>
  </r>
  <r>
    <x v="7"/>
  </r>
  <r>
    <x v="24"/>
  </r>
  <r>
    <x v="26"/>
  </r>
  <r>
    <x v="24"/>
  </r>
  <r>
    <x v="0"/>
  </r>
  <r>
    <x v="0"/>
  </r>
  <r>
    <x v="7"/>
  </r>
  <r>
    <x v="47"/>
  </r>
  <r>
    <x v="28"/>
  </r>
  <r>
    <x v="2"/>
  </r>
  <r>
    <x v="39"/>
  </r>
  <r>
    <x v="7"/>
  </r>
  <r>
    <x v="11"/>
  </r>
  <r>
    <x v="7"/>
  </r>
  <r>
    <x v="18"/>
  </r>
  <r>
    <x v="5"/>
  </r>
  <r>
    <x v="7"/>
  </r>
  <r>
    <x v="24"/>
  </r>
  <r>
    <x v="19"/>
  </r>
  <r>
    <x v="21"/>
  </r>
  <r>
    <x v="16"/>
  </r>
  <r>
    <x v="41"/>
  </r>
  <r>
    <x v="7"/>
  </r>
  <r>
    <x v="11"/>
  </r>
  <r>
    <x v="41"/>
  </r>
  <r>
    <x v="7"/>
  </r>
  <r>
    <x v="0"/>
  </r>
  <r>
    <x v="0"/>
  </r>
  <r>
    <x v="26"/>
  </r>
  <r>
    <x v="41"/>
  </r>
  <r>
    <x v="5"/>
  </r>
  <r>
    <x v="24"/>
  </r>
  <r>
    <x v="28"/>
  </r>
  <r>
    <x v="22"/>
  </r>
  <r>
    <x v="16"/>
  </r>
  <r>
    <x v="26"/>
  </r>
  <r>
    <x v="26"/>
  </r>
  <r>
    <x v="27"/>
  </r>
  <r>
    <x v="0"/>
  </r>
  <r>
    <x v="0"/>
  </r>
  <r>
    <x v="7"/>
  </r>
  <r>
    <x v="24"/>
  </r>
  <r>
    <x v="47"/>
  </r>
  <r>
    <x v="12"/>
  </r>
  <r>
    <x v="49"/>
  </r>
  <r>
    <x v="39"/>
  </r>
  <r>
    <x v="41"/>
  </r>
  <r>
    <x v="12"/>
  </r>
  <r>
    <x v="0"/>
  </r>
  <r>
    <x v="0"/>
  </r>
  <r>
    <x v="25"/>
  </r>
  <r>
    <x v="18"/>
  </r>
  <r>
    <x v="29"/>
  </r>
  <r>
    <x v="18"/>
  </r>
  <r>
    <x v="26"/>
  </r>
  <r>
    <x v="18"/>
  </r>
  <r>
    <x v="7"/>
  </r>
  <r>
    <x v="12"/>
  </r>
  <r>
    <x v="7"/>
  </r>
  <r>
    <x v="7"/>
  </r>
  <r>
    <x v="27"/>
  </r>
  <r>
    <x v="38"/>
  </r>
  <r>
    <x v="43"/>
  </r>
  <r>
    <x v="24"/>
  </r>
  <r>
    <x v="26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2" cacheId="0" applyNumberFormats="0" applyBorderFormats="0" applyFontFormats="0" applyPatternFormats="0" applyAlignmentFormats="0" applyWidthHeightFormats="0" dataCaption="Values" itemPrintTitles="1" indent="0" outline="1" outlineData="1">
  <location ref="A3:B55" firstHeaderRow="1" firstDataRow="1" firstDataCol="1"/>
  <pivotFields count="1">
    <pivotField axis="axisRow" dataField="1" showAll="0">
      <items count="5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x="27"/>
        <item t="default"/>
      </items>
    </pivotField>
  </pivotFields>
  <rowFields count="1">
    <field x="0"/>
  </rowFields>
  <dataFields count="1">
    <dataField name="Cuenta de pokemon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zoomScaleNormal="100" workbookViewId="0">
      <pane ySplit="1" topLeftCell="A2" activePane="bottomLeft" state="frozen"/>
      <selection pane="bottomLeft" activeCell="M21" sqref="M21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3" width="30" customWidth="1"/>
    <col min="4" max="5" width="16" customWidth="1"/>
    <col min="6" max="6" width="25" customWidth="1"/>
    <col min="7" max="7" width="16" customWidth="1"/>
    <col min="8" max="8" width="10" customWidth="1"/>
    <col min="9" max="9" width="6.140625" customWidth="1"/>
    <col min="10" max="15" width="18" customWidth="1"/>
  </cols>
  <sheetData>
    <row r="1" spans="1:15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18</v>
      </c>
      <c r="H2" s="3">
        <v>2</v>
      </c>
      <c r="I2" s="3">
        <v>2</v>
      </c>
      <c r="J2" s="2" t="s">
        <v>21</v>
      </c>
      <c r="K2" s="2" t="s">
        <v>22</v>
      </c>
      <c r="L2" s="2" t="s">
        <v>23</v>
      </c>
      <c r="M2" s="4" t="s">
        <v>24</v>
      </c>
      <c r="N2" s="2" t="s">
        <v>25</v>
      </c>
      <c r="O2" s="4" t="s">
        <v>26</v>
      </c>
    </row>
    <row r="3" spans="1:1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27</v>
      </c>
      <c r="G3" s="2" t="s">
        <v>19</v>
      </c>
      <c r="H3" s="5">
        <v>0</v>
      </c>
      <c r="I3" s="3">
        <v>2</v>
      </c>
      <c r="J3" s="2" t="s">
        <v>28</v>
      </c>
      <c r="K3" s="4" t="s">
        <v>29</v>
      </c>
      <c r="L3" s="2" t="s">
        <v>30</v>
      </c>
      <c r="M3" s="4" t="s">
        <v>31</v>
      </c>
      <c r="N3" s="2" t="s">
        <v>32</v>
      </c>
      <c r="O3" s="2" t="s">
        <v>33</v>
      </c>
    </row>
    <row r="4" spans="1:15" x14ac:dyDescent="0.25">
      <c r="A4" s="4" t="s">
        <v>15</v>
      </c>
      <c r="B4" s="4" t="s">
        <v>34</v>
      </c>
      <c r="C4" s="4" t="s">
        <v>35</v>
      </c>
      <c r="D4" s="4" t="s">
        <v>19</v>
      </c>
      <c r="E4" s="4" t="s">
        <v>18</v>
      </c>
      <c r="F4" s="4" t="s">
        <v>36</v>
      </c>
      <c r="G4" s="4" t="s">
        <v>19</v>
      </c>
      <c r="H4" s="3">
        <v>2</v>
      </c>
      <c r="I4" s="3">
        <v>2</v>
      </c>
      <c r="J4" s="4" t="s">
        <v>37</v>
      </c>
      <c r="K4" s="4" t="s">
        <v>38</v>
      </c>
      <c r="L4" s="4" t="s">
        <v>26</v>
      </c>
      <c r="M4" s="4" t="s">
        <v>39</v>
      </c>
      <c r="N4" s="4" t="s">
        <v>23</v>
      </c>
      <c r="O4" s="4" t="s">
        <v>40</v>
      </c>
    </row>
    <row r="5" spans="1:15" x14ac:dyDescent="0.25">
      <c r="A5" s="4" t="s">
        <v>15</v>
      </c>
      <c r="B5" s="4" t="s">
        <v>34</v>
      </c>
      <c r="C5" s="4" t="s">
        <v>35</v>
      </c>
      <c r="D5" s="4" t="s">
        <v>19</v>
      </c>
      <c r="E5" s="4" t="s">
        <v>18</v>
      </c>
      <c r="F5" s="4" t="s">
        <v>41</v>
      </c>
      <c r="G5" s="4" t="s">
        <v>18</v>
      </c>
      <c r="H5" s="5">
        <v>0</v>
      </c>
      <c r="I5" s="3">
        <v>2</v>
      </c>
      <c r="J5" s="2" t="s">
        <v>42</v>
      </c>
      <c r="K5" s="4" t="s">
        <v>43</v>
      </c>
      <c r="L5" s="4" t="s">
        <v>21</v>
      </c>
      <c r="M5" s="4" t="s">
        <v>32</v>
      </c>
      <c r="N5" s="4" t="s">
        <v>23</v>
      </c>
      <c r="O5" s="4" t="s">
        <v>26</v>
      </c>
    </row>
    <row r="6" spans="1:15" x14ac:dyDescent="0.2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47</v>
      </c>
      <c r="G6" s="2" t="s">
        <v>47</v>
      </c>
      <c r="H6" s="3">
        <v>2</v>
      </c>
      <c r="I6" s="3">
        <v>2</v>
      </c>
      <c r="J6" s="2"/>
      <c r="K6" s="2"/>
      <c r="L6" s="2"/>
      <c r="M6" s="2"/>
      <c r="N6" s="2"/>
      <c r="O6" s="2"/>
    </row>
    <row r="7" spans="1:15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48</v>
      </c>
      <c r="G7" s="2" t="s">
        <v>48</v>
      </c>
      <c r="H7" s="5">
        <v>0</v>
      </c>
      <c r="I7" s="3">
        <v>2</v>
      </c>
      <c r="J7" s="2"/>
      <c r="K7" s="2"/>
      <c r="L7" s="2"/>
      <c r="M7" s="2"/>
      <c r="N7" s="2"/>
      <c r="O7" s="2"/>
    </row>
    <row r="8" spans="1:15" x14ac:dyDescent="0.25">
      <c r="A8" s="4" t="s">
        <v>44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51</v>
      </c>
      <c r="H8" s="3">
        <v>2</v>
      </c>
      <c r="I8" s="3">
        <v>2</v>
      </c>
      <c r="J8" s="4" t="s">
        <v>54</v>
      </c>
      <c r="K8" s="4" t="s">
        <v>55</v>
      </c>
      <c r="L8" s="4" t="s">
        <v>56</v>
      </c>
      <c r="M8" s="4" t="s">
        <v>26</v>
      </c>
      <c r="N8" s="4" t="s">
        <v>57</v>
      </c>
      <c r="O8" s="4" t="s">
        <v>23</v>
      </c>
    </row>
    <row r="9" spans="1:15" x14ac:dyDescent="0.25">
      <c r="A9" s="4" t="s">
        <v>44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58</v>
      </c>
      <c r="G9" s="4" t="s">
        <v>52</v>
      </c>
      <c r="H9" s="5">
        <v>0</v>
      </c>
      <c r="I9" s="3">
        <v>2</v>
      </c>
      <c r="J9" s="4" t="s">
        <v>59</v>
      </c>
      <c r="K9" s="4" t="s">
        <v>24</v>
      </c>
      <c r="L9" s="2" t="s">
        <v>22</v>
      </c>
      <c r="M9" s="4" t="s">
        <v>25</v>
      </c>
      <c r="N9" s="4" t="s">
        <v>23</v>
      </c>
      <c r="O9" s="4" t="s">
        <v>40</v>
      </c>
    </row>
    <row r="10" spans="1:15" x14ac:dyDescent="0.25">
      <c r="A10" s="2" t="s">
        <v>44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62</v>
      </c>
      <c r="H10" s="3">
        <v>2</v>
      </c>
      <c r="I10" s="3">
        <v>2</v>
      </c>
      <c r="J10" s="2" t="s">
        <v>56</v>
      </c>
      <c r="K10" s="2" t="s">
        <v>26</v>
      </c>
      <c r="L10" s="2" t="s">
        <v>65</v>
      </c>
      <c r="M10" s="2" t="s">
        <v>23</v>
      </c>
      <c r="N10" s="2" t="s">
        <v>25</v>
      </c>
      <c r="O10" s="2" t="s">
        <v>55</v>
      </c>
    </row>
    <row r="11" spans="1:15" x14ac:dyDescent="0.25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66</v>
      </c>
      <c r="G11" s="2" t="s">
        <v>63</v>
      </c>
      <c r="H11" s="5">
        <v>0</v>
      </c>
      <c r="I11" s="3">
        <v>2</v>
      </c>
      <c r="J11" s="2" t="s">
        <v>67</v>
      </c>
      <c r="K11" s="2" t="s">
        <v>68</v>
      </c>
      <c r="L11" s="2" t="s">
        <v>56</v>
      </c>
      <c r="M11" s="4" t="s">
        <v>26</v>
      </c>
      <c r="N11" s="2" t="s">
        <v>55</v>
      </c>
      <c r="O11" s="2" t="s">
        <v>69</v>
      </c>
    </row>
    <row r="12" spans="1:15" x14ac:dyDescent="0.25">
      <c r="A12" s="4" t="s">
        <v>44</v>
      </c>
      <c r="B12" s="4" t="s">
        <v>70</v>
      </c>
      <c r="C12" s="4" t="s">
        <v>71</v>
      </c>
      <c r="D12" s="4" t="s">
        <v>62</v>
      </c>
      <c r="E12" s="4" t="s">
        <v>63</v>
      </c>
      <c r="F12" s="4" t="s">
        <v>72</v>
      </c>
      <c r="G12" s="4" t="s">
        <v>62</v>
      </c>
      <c r="H12" s="3">
        <v>2</v>
      </c>
      <c r="I12" s="3">
        <v>2</v>
      </c>
      <c r="J12" s="4" t="s">
        <v>29</v>
      </c>
      <c r="K12" s="4" t="s">
        <v>32</v>
      </c>
      <c r="L12" s="4" t="s">
        <v>73</v>
      </c>
      <c r="M12" s="4" t="s">
        <v>26</v>
      </c>
      <c r="N12" s="4" t="s">
        <v>23</v>
      </c>
      <c r="O12" s="4" t="s">
        <v>74</v>
      </c>
    </row>
    <row r="13" spans="1:15" x14ac:dyDescent="0.25">
      <c r="A13" s="4" t="s">
        <v>44</v>
      </c>
      <c r="B13" s="4" t="s">
        <v>70</v>
      </c>
      <c r="C13" s="4" t="s">
        <v>71</v>
      </c>
      <c r="D13" s="4" t="s">
        <v>62</v>
      </c>
      <c r="E13" s="4" t="s">
        <v>63</v>
      </c>
      <c r="F13" s="4" t="s">
        <v>75</v>
      </c>
      <c r="G13" s="4" t="s">
        <v>63</v>
      </c>
      <c r="H13" s="6">
        <v>1</v>
      </c>
      <c r="I13" s="3">
        <v>2</v>
      </c>
      <c r="J13" s="4" t="s">
        <v>69</v>
      </c>
      <c r="K13" s="4" t="s">
        <v>38</v>
      </c>
      <c r="L13" s="2" t="s">
        <v>42</v>
      </c>
      <c r="M13" s="4" t="s">
        <v>76</v>
      </c>
      <c r="N13" s="4" t="s">
        <v>39</v>
      </c>
      <c r="O13" s="4" t="s">
        <v>77</v>
      </c>
    </row>
    <row r="14" spans="1:15" x14ac:dyDescent="0.25">
      <c r="A14" s="2" t="s">
        <v>44</v>
      </c>
      <c r="B14" s="2" t="s">
        <v>78</v>
      </c>
      <c r="C14" s="2" t="s">
        <v>79</v>
      </c>
      <c r="D14" s="2" t="s">
        <v>19</v>
      </c>
      <c r="E14" s="2" t="s">
        <v>80</v>
      </c>
      <c r="F14" s="2" t="s">
        <v>81</v>
      </c>
      <c r="G14" s="2" t="s">
        <v>19</v>
      </c>
      <c r="H14" s="3">
        <v>2</v>
      </c>
      <c r="I14" s="3">
        <v>2</v>
      </c>
      <c r="J14" s="2" t="s">
        <v>73</v>
      </c>
      <c r="K14" s="2" t="s">
        <v>32</v>
      </c>
      <c r="L14" s="2" t="s">
        <v>25</v>
      </c>
      <c r="M14" s="4" t="s">
        <v>26</v>
      </c>
      <c r="N14" s="2" t="s">
        <v>23</v>
      </c>
      <c r="O14" s="4" t="s">
        <v>43</v>
      </c>
    </row>
    <row r="15" spans="1:15" x14ac:dyDescent="0.25">
      <c r="A15" s="2" t="s">
        <v>44</v>
      </c>
      <c r="B15" s="2" t="s">
        <v>78</v>
      </c>
      <c r="C15" s="2" t="s">
        <v>79</v>
      </c>
      <c r="D15" s="2" t="s">
        <v>19</v>
      </c>
      <c r="E15" s="2" t="s">
        <v>80</v>
      </c>
      <c r="F15" s="2" t="s">
        <v>82</v>
      </c>
      <c r="G15" s="2" t="s">
        <v>80</v>
      </c>
      <c r="H15" s="5">
        <v>0</v>
      </c>
      <c r="I15" s="3">
        <v>2</v>
      </c>
      <c r="J15" s="4" t="s">
        <v>29</v>
      </c>
      <c r="K15" s="2" t="s">
        <v>25</v>
      </c>
      <c r="L15" s="2" t="s">
        <v>56</v>
      </c>
      <c r="M15" s="2" t="s">
        <v>69</v>
      </c>
      <c r="N15" s="4" t="s">
        <v>26</v>
      </c>
      <c r="O15" s="2" t="s">
        <v>23</v>
      </c>
    </row>
    <row r="16" spans="1:15" x14ac:dyDescent="0.25">
      <c r="A16" s="4" t="s">
        <v>44</v>
      </c>
      <c r="B16" s="4" t="s">
        <v>83</v>
      </c>
      <c r="C16" s="4" t="s">
        <v>84</v>
      </c>
      <c r="D16" s="4" t="s">
        <v>85</v>
      </c>
      <c r="E16" s="4" t="s">
        <v>51</v>
      </c>
      <c r="F16" s="4" t="s">
        <v>86</v>
      </c>
      <c r="G16" s="4" t="s">
        <v>85</v>
      </c>
      <c r="H16" s="3">
        <v>2</v>
      </c>
      <c r="I16" s="3">
        <v>2</v>
      </c>
      <c r="J16" s="4" t="s">
        <v>87</v>
      </c>
      <c r="K16" s="4" t="s">
        <v>54</v>
      </c>
      <c r="L16" s="2" t="s">
        <v>42</v>
      </c>
      <c r="M16" s="4" t="s">
        <v>32</v>
      </c>
      <c r="N16" s="4" t="s">
        <v>26</v>
      </c>
      <c r="O16" s="4" t="s">
        <v>23</v>
      </c>
    </row>
    <row r="17" spans="1:15" x14ac:dyDescent="0.25">
      <c r="A17" s="4" t="s">
        <v>44</v>
      </c>
      <c r="B17" s="4" t="s">
        <v>83</v>
      </c>
      <c r="C17" s="4" t="s">
        <v>84</v>
      </c>
      <c r="D17" s="4" t="s">
        <v>85</v>
      </c>
      <c r="E17" s="4" t="s">
        <v>51</v>
      </c>
      <c r="F17" s="4" t="s">
        <v>88</v>
      </c>
      <c r="G17" s="4" t="s">
        <v>51</v>
      </c>
      <c r="H17" s="6">
        <v>1</v>
      </c>
      <c r="I17" s="3">
        <v>2</v>
      </c>
      <c r="J17" s="4" t="s">
        <v>59</v>
      </c>
      <c r="K17" s="4" t="s">
        <v>24</v>
      </c>
      <c r="L17" s="4" t="s">
        <v>25</v>
      </c>
      <c r="M17" s="4" t="s">
        <v>26</v>
      </c>
      <c r="N17" s="4" t="s">
        <v>23</v>
      </c>
      <c r="O17" s="2" t="s">
        <v>22</v>
      </c>
    </row>
    <row r="18" spans="1:15" x14ac:dyDescent="0.25">
      <c r="A18" s="2" t="s">
        <v>89</v>
      </c>
      <c r="B18" s="2" t="s">
        <v>90</v>
      </c>
      <c r="C18" s="2" t="s">
        <v>91</v>
      </c>
      <c r="D18" s="2" t="s">
        <v>80</v>
      </c>
      <c r="E18" s="2" t="s">
        <v>19</v>
      </c>
      <c r="F18" s="2" t="s">
        <v>92</v>
      </c>
      <c r="G18" s="2" t="s">
        <v>80</v>
      </c>
      <c r="H18" s="3">
        <v>2</v>
      </c>
      <c r="I18" s="3">
        <v>2</v>
      </c>
      <c r="J18" s="2"/>
      <c r="K18" s="2"/>
      <c r="L18" s="2"/>
      <c r="M18" s="2"/>
      <c r="N18" s="2"/>
      <c r="O18" s="2"/>
    </row>
    <row r="19" spans="1:15" x14ac:dyDescent="0.25">
      <c r="A19" s="2" t="s">
        <v>89</v>
      </c>
      <c r="B19" s="2" t="s">
        <v>90</v>
      </c>
      <c r="C19" s="2" t="s">
        <v>91</v>
      </c>
      <c r="D19" s="2" t="s">
        <v>80</v>
      </c>
      <c r="E19" s="2" t="s">
        <v>19</v>
      </c>
      <c r="F19" s="2" t="s">
        <v>93</v>
      </c>
      <c r="G19" s="2" t="s">
        <v>19</v>
      </c>
      <c r="H19" s="5">
        <v>0</v>
      </c>
      <c r="I19" s="3">
        <v>2</v>
      </c>
      <c r="J19" s="2"/>
      <c r="K19" s="2"/>
      <c r="L19" s="2"/>
      <c r="M19" s="2"/>
      <c r="N19" s="2"/>
      <c r="O19" s="2"/>
    </row>
    <row r="20" spans="1:15" x14ac:dyDescent="0.25">
      <c r="A20" s="4" t="s">
        <v>89</v>
      </c>
      <c r="B20" s="4" t="s">
        <v>94</v>
      </c>
      <c r="C20" s="4" t="s">
        <v>61</v>
      </c>
      <c r="D20" s="4" t="s">
        <v>62</v>
      </c>
      <c r="E20" s="4" t="s">
        <v>63</v>
      </c>
      <c r="F20" s="4" t="s">
        <v>95</v>
      </c>
      <c r="G20" s="4" t="s">
        <v>62</v>
      </c>
      <c r="H20" s="3">
        <v>2</v>
      </c>
      <c r="I20" s="3">
        <v>2</v>
      </c>
      <c r="J20" s="4" t="s">
        <v>43</v>
      </c>
      <c r="K20" s="4" t="s">
        <v>21</v>
      </c>
      <c r="L20" s="4" t="s">
        <v>25</v>
      </c>
      <c r="M20" s="4" t="s">
        <v>69</v>
      </c>
      <c r="N20" s="4" t="s">
        <v>32</v>
      </c>
      <c r="O20" s="4" t="s">
        <v>26</v>
      </c>
    </row>
    <row r="21" spans="1:15" x14ac:dyDescent="0.25">
      <c r="A21" s="4" t="s">
        <v>89</v>
      </c>
      <c r="B21" s="4" t="s">
        <v>94</v>
      </c>
      <c r="C21" s="4" t="s">
        <v>61</v>
      </c>
      <c r="D21" s="4" t="s">
        <v>62</v>
      </c>
      <c r="E21" s="4" t="s">
        <v>63</v>
      </c>
      <c r="F21" s="4" t="s">
        <v>96</v>
      </c>
      <c r="G21" s="4" t="s">
        <v>63</v>
      </c>
      <c r="H21" s="5">
        <v>0</v>
      </c>
      <c r="I21" s="3">
        <v>2</v>
      </c>
      <c r="J21" s="4" t="s">
        <v>97</v>
      </c>
      <c r="K21" s="4" t="s">
        <v>31</v>
      </c>
      <c r="L21" s="4" t="s">
        <v>98</v>
      </c>
      <c r="M21" s="4" t="s">
        <v>99</v>
      </c>
      <c r="N21" s="4" t="s">
        <v>32</v>
      </c>
      <c r="O21" s="4" t="s">
        <v>69</v>
      </c>
    </row>
    <row r="22" spans="1:15" x14ac:dyDescent="0.25">
      <c r="A22" s="2" t="s">
        <v>89</v>
      </c>
      <c r="B22" s="2" t="s">
        <v>100</v>
      </c>
      <c r="C22" s="2" t="s">
        <v>101</v>
      </c>
      <c r="D22" s="2" t="s">
        <v>19</v>
      </c>
      <c r="E22" s="2" t="s">
        <v>80</v>
      </c>
      <c r="F22" s="2" t="s">
        <v>102</v>
      </c>
      <c r="G22" s="2" t="s">
        <v>19</v>
      </c>
      <c r="H22" s="3">
        <v>2</v>
      </c>
      <c r="I22" s="3">
        <v>2</v>
      </c>
      <c r="J22" s="2" t="s">
        <v>37</v>
      </c>
      <c r="K22" s="2" t="s">
        <v>39</v>
      </c>
      <c r="L22" s="2" t="s">
        <v>38</v>
      </c>
      <c r="M22" s="2" t="s">
        <v>77</v>
      </c>
      <c r="N22" s="2" t="s">
        <v>23</v>
      </c>
      <c r="O22" s="2" t="s">
        <v>67</v>
      </c>
    </row>
    <row r="23" spans="1:15" x14ac:dyDescent="0.25">
      <c r="A23" s="2" t="s">
        <v>89</v>
      </c>
      <c r="B23" s="2" t="s">
        <v>100</v>
      </c>
      <c r="C23" s="2" t="s">
        <v>101</v>
      </c>
      <c r="D23" s="2" t="s">
        <v>19</v>
      </c>
      <c r="E23" s="2" t="s">
        <v>80</v>
      </c>
      <c r="F23" s="2" t="s">
        <v>103</v>
      </c>
      <c r="G23" s="2" t="s">
        <v>80</v>
      </c>
      <c r="H23" s="6">
        <v>1</v>
      </c>
      <c r="I23" s="3">
        <v>2</v>
      </c>
      <c r="J23" s="2" t="s">
        <v>42</v>
      </c>
      <c r="K23" s="2" t="s">
        <v>104</v>
      </c>
      <c r="L23" s="2" t="s">
        <v>21</v>
      </c>
      <c r="M23" s="4" t="s">
        <v>26</v>
      </c>
      <c r="N23" s="2" t="s">
        <v>23</v>
      </c>
      <c r="O23" s="2" t="s">
        <v>65</v>
      </c>
    </row>
    <row r="24" spans="1:15" x14ac:dyDescent="0.25">
      <c r="A24" s="4" t="s">
        <v>89</v>
      </c>
      <c r="B24" s="4" t="s">
        <v>105</v>
      </c>
      <c r="C24" s="4" t="s">
        <v>106</v>
      </c>
      <c r="D24" s="4" t="s">
        <v>107</v>
      </c>
      <c r="E24" s="4" t="s">
        <v>108</v>
      </c>
      <c r="F24" s="4" t="s">
        <v>109</v>
      </c>
      <c r="G24" s="4" t="s">
        <v>107</v>
      </c>
      <c r="H24" s="3">
        <v>2</v>
      </c>
      <c r="I24" s="3">
        <v>2</v>
      </c>
      <c r="J24" s="2" t="s">
        <v>42</v>
      </c>
      <c r="K24" s="4" t="s">
        <v>23</v>
      </c>
      <c r="L24" s="4" t="s">
        <v>25</v>
      </c>
      <c r="M24" s="4" t="s">
        <v>32</v>
      </c>
      <c r="N24" s="4" t="s">
        <v>26</v>
      </c>
      <c r="O24" s="4" t="s">
        <v>87</v>
      </c>
    </row>
    <row r="25" spans="1:15" x14ac:dyDescent="0.25">
      <c r="A25" s="4" t="s">
        <v>89</v>
      </c>
      <c r="B25" s="4" t="s">
        <v>105</v>
      </c>
      <c r="C25" s="4" t="s">
        <v>106</v>
      </c>
      <c r="D25" s="4" t="s">
        <v>107</v>
      </c>
      <c r="E25" s="4" t="s">
        <v>108</v>
      </c>
      <c r="F25" s="4" t="s">
        <v>110</v>
      </c>
      <c r="G25" s="4" t="s">
        <v>108</v>
      </c>
      <c r="H25" s="5">
        <v>0</v>
      </c>
      <c r="I25" s="3">
        <v>2</v>
      </c>
      <c r="J25" s="4" t="s">
        <v>23</v>
      </c>
      <c r="K25" s="4" t="s">
        <v>99</v>
      </c>
      <c r="L25" s="4" t="s">
        <v>97</v>
      </c>
      <c r="M25" s="4" t="s">
        <v>65</v>
      </c>
      <c r="N25" s="4" t="s">
        <v>69</v>
      </c>
      <c r="O25" s="4" t="s">
        <v>25</v>
      </c>
    </row>
    <row r="26" spans="1:15" x14ac:dyDescent="0.25">
      <c r="A26" s="2" t="s">
        <v>89</v>
      </c>
      <c r="B26" s="2" t="s">
        <v>111</v>
      </c>
      <c r="C26" s="2" t="s">
        <v>112</v>
      </c>
      <c r="D26" s="2" t="s">
        <v>85</v>
      </c>
      <c r="E26" s="2" t="s">
        <v>51</v>
      </c>
      <c r="F26" s="2" t="s">
        <v>113</v>
      </c>
      <c r="G26" s="2" t="s">
        <v>85</v>
      </c>
      <c r="H26" s="3">
        <v>2</v>
      </c>
      <c r="I26" s="3">
        <v>2</v>
      </c>
      <c r="J26" s="2" t="s">
        <v>114</v>
      </c>
      <c r="K26" s="2" t="s">
        <v>38</v>
      </c>
      <c r="L26" s="2" t="s">
        <v>39</v>
      </c>
      <c r="M26" s="4" t="s">
        <v>26</v>
      </c>
      <c r="N26" s="2" t="s">
        <v>23</v>
      </c>
      <c r="O26" s="2" t="s">
        <v>40</v>
      </c>
    </row>
    <row r="27" spans="1:15" x14ac:dyDescent="0.25">
      <c r="A27" s="2" t="s">
        <v>89</v>
      </c>
      <c r="B27" s="2" t="s">
        <v>111</v>
      </c>
      <c r="C27" s="2" t="s">
        <v>112</v>
      </c>
      <c r="D27" s="2" t="s">
        <v>85</v>
      </c>
      <c r="E27" s="2" t="s">
        <v>51</v>
      </c>
      <c r="F27" s="2" t="s">
        <v>115</v>
      </c>
      <c r="G27" s="2" t="s">
        <v>51</v>
      </c>
      <c r="H27" s="5">
        <v>0</v>
      </c>
      <c r="I27" s="3">
        <v>2</v>
      </c>
      <c r="J27" s="2" t="s">
        <v>99</v>
      </c>
      <c r="K27" s="2" t="s">
        <v>25</v>
      </c>
      <c r="L27" s="2" t="s">
        <v>97</v>
      </c>
      <c r="M27" s="2" t="s">
        <v>23</v>
      </c>
      <c r="N27" s="2" t="s">
        <v>69</v>
      </c>
      <c r="O27" s="2" t="s">
        <v>65</v>
      </c>
    </row>
    <row r="28" spans="1:15" x14ac:dyDescent="0.25">
      <c r="A28" s="4" t="s">
        <v>89</v>
      </c>
      <c r="B28" s="4" t="s">
        <v>116</v>
      </c>
      <c r="C28" s="4" t="s">
        <v>117</v>
      </c>
      <c r="D28" s="4" t="s">
        <v>107</v>
      </c>
      <c r="E28" s="4" t="s">
        <v>108</v>
      </c>
      <c r="F28" s="4" t="s">
        <v>118</v>
      </c>
      <c r="G28" s="4" t="s">
        <v>107</v>
      </c>
      <c r="H28" s="3">
        <v>2</v>
      </c>
      <c r="I28" s="3">
        <v>2</v>
      </c>
      <c r="J28" s="4"/>
      <c r="K28" s="4"/>
      <c r="L28" s="4"/>
      <c r="M28" s="4"/>
      <c r="N28" s="4"/>
      <c r="O28" s="4"/>
    </row>
    <row r="29" spans="1:15" x14ac:dyDescent="0.25">
      <c r="A29" s="4" t="s">
        <v>89</v>
      </c>
      <c r="B29" s="4" t="s">
        <v>116</v>
      </c>
      <c r="C29" s="4" t="s">
        <v>117</v>
      </c>
      <c r="D29" s="4" t="s">
        <v>107</v>
      </c>
      <c r="E29" s="4" t="s">
        <v>108</v>
      </c>
      <c r="F29" s="4" t="s">
        <v>119</v>
      </c>
      <c r="G29" s="4" t="s">
        <v>108</v>
      </c>
      <c r="H29" s="5">
        <v>0</v>
      </c>
      <c r="I29" s="3">
        <v>2</v>
      </c>
      <c r="J29" s="4"/>
      <c r="K29" s="4"/>
      <c r="L29" s="4"/>
      <c r="M29" s="4"/>
      <c r="N29" s="4"/>
      <c r="O29" s="4"/>
    </row>
    <row r="30" spans="1:15" x14ac:dyDescent="0.25">
      <c r="A30" s="2" t="s">
        <v>89</v>
      </c>
      <c r="B30" s="2" t="s">
        <v>83</v>
      </c>
      <c r="C30" s="2" t="s">
        <v>84</v>
      </c>
      <c r="D30" s="2" t="s">
        <v>85</v>
      </c>
      <c r="E30" s="2" t="s">
        <v>51</v>
      </c>
      <c r="F30" s="2" t="s">
        <v>120</v>
      </c>
      <c r="G30" s="2" t="s">
        <v>85</v>
      </c>
      <c r="H30" s="3">
        <v>2</v>
      </c>
      <c r="I30" s="3">
        <v>2</v>
      </c>
      <c r="J30" s="2" t="s">
        <v>38</v>
      </c>
      <c r="K30" s="2" t="s">
        <v>39</v>
      </c>
      <c r="L30" s="2" t="s">
        <v>40</v>
      </c>
      <c r="M30" s="2" t="s">
        <v>23</v>
      </c>
      <c r="N30" s="4" t="s">
        <v>26</v>
      </c>
      <c r="O30" s="2" t="s">
        <v>37</v>
      </c>
    </row>
    <row r="31" spans="1:15" x14ac:dyDescent="0.25">
      <c r="A31" s="2" t="s">
        <v>89</v>
      </c>
      <c r="B31" s="2" t="s">
        <v>83</v>
      </c>
      <c r="C31" s="2" t="s">
        <v>84</v>
      </c>
      <c r="D31" s="2" t="s">
        <v>85</v>
      </c>
      <c r="E31" s="2" t="s">
        <v>51</v>
      </c>
      <c r="F31" s="2" t="s">
        <v>121</v>
      </c>
      <c r="G31" s="2" t="s">
        <v>51</v>
      </c>
      <c r="H31" s="6">
        <v>1</v>
      </c>
      <c r="I31" s="3">
        <v>2</v>
      </c>
      <c r="J31" s="2" t="s">
        <v>42</v>
      </c>
      <c r="K31" s="2" t="s">
        <v>25</v>
      </c>
      <c r="L31" s="4" t="s">
        <v>26</v>
      </c>
      <c r="M31" s="2" t="s">
        <v>69</v>
      </c>
      <c r="N31" s="2" t="s">
        <v>67</v>
      </c>
      <c r="O31" s="2" t="s">
        <v>32</v>
      </c>
    </row>
    <row r="32" spans="1:15" x14ac:dyDescent="0.25">
      <c r="A32" s="4" t="s">
        <v>122</v>
      </c>
      <c r="B32" s="4" t="s">
        <v>123</v>
      </c>
      <c r="C32" s="4" t="s">
        <v>124</v>
      </c>
      <c r="D32" s="4" t="s">
        <v>107</v>
      </c>
      <c r="E32" s="4" t="s">
        <v>108</v>
      </c>
      <c r="F32" s="4" t="s">
        <v>125</v>
      </c>
      <c r="G32" s="4" t="s">
        <v>107</v>
      </c>
      <c r="H32" s="3">
        <v>2</v>
      </c>
      <c r="I32" s="3">
        <v>2</v>
      </c>
      <c r="J32" s="4" t="s">
        <v>43</v>
      </c>
      <c r="K32" s="4" t="s">
        <v>69</v>
      </c>
      <c r="L32" s="4" t="s">
        <v>126</v>
      </c>
      <c r="M32" s="4" t="s">
        <v>127</v>
      </c>
      <c r="N32" s="4" t="s">
        <v>74</v>
      </c>
      <c r="O32" s="4" t="s">
        <v>128</v>
      </c>
    </row>
    <row r="33" spans="1:15" x14ac:dyDescent="0.25">
      <c r="A33" s="4" t="s">
        <v>122</v>
      </c>
      <c r="B33" s="4" t="s">
        <v>123</v>
      </c>
      <c r="C33" s="4" t="s">
        <v>124</v>
      </c>
      <c r="D33" s="4" t="s">
        <v>107</v>
      </c>
      <c r="E33" s="4" t="s">
        <v>108</v>
      </c>
      <c r="F33" s="4" t="s">
        <v>129</v>
      </c>
      <c r="G33" s="4" t="s">
        <v>108</v>
      </c>
      <c r="H33" s="6">
        <v>1</v>
      </c>
      <c r="I33" s="3">
        <v>2</v>
      </c>
      <c r="J33" s="2" t="s">
        <v>42</v>
      </c>
      <c r="K33" s="4" t="s">
        <v>43</v>
      </c>
      <c r="L33" s="4" t="s">
        <v>23</v>
      </c>
      <c r="M33" s="4" t="s">
        <v>26</v>
      </c>
      <c r="N33" s="4" t="s">
        <v>21</v>
      </c>
      <c r="O33" s="4" t="s">
        <v>32</v>
      </c>
    </row>
    <row r="34" spans="1:15" x14ac:dyDescent="0.25">
      <c r="A34" s="2" t="s">
        <v>122</v>
      </c>
      <c r="B34" s="2" t="s">
        <v>130</v>
      </c>
      <c r="C34" s="2" t="s">
        <v>131</v>
      </c>
      <c r="D34" s="2" t="s">
        <v>132</v>
      </c>
      <c r="E34" s="2" t="s">
        <v>133</v>
      </c>
      <c r="F34" s="2" t="s">
        <v>134</v>
      </c>
      <c r="G34" s="2" t="s">
        <v>132</v>
      </c>
      <c r="H34" s="3">
        <v>2</v>
      </c>
      <c r="I34" s="3">
        <v>2</v>
      </c>
      <c r="J34" s="2" t="s">
        <v>21</v>
      </c>
      <c r="K34" s="2" t="s">
        <v>43</v>
      </c>
      <c r="L34" s="2" t="s">
        <v>32</v>
      </c>
      <c r="M34" s="4" t="s">
        <v>26</v>
      </c>
      <c r="N34" s="2" t="s">
        <v>25</v>
      </c>
      <c r="O34" s="2" t="s">
        <v>23</v>
      </c>
    </row>
    <row r="35" spans="1:15" x14ac:dyDescent="0.25">
      <c r="A35" s="2" t="s">
        <v>122</v>
      </c>
      <c r="B35" s="2" t="s">
        <v>130</v>
      </c>
      <c r="C35" s="2" t="s">
        <v>131</v>
      </c>
      <c r="D35" s="2" t="s">
        <v>132</v>
      </c>
      <c r="E35" s="2" t="s">
        <v>133</v>
      </c>
      <c r="F35" s="2" t="s">
        <v>135</v>
      </c>
      <c r="G35" s="2" t="s">
        <v>133</v>
      </c>
      <c r="H35" s="5">
        <v>0</v>
      </c>
      <c r="I35" s="3">
        <v>2</v>
      </c>
      <c r="J35" s="2" t="s">
        <v>42</v>
      </c>
      <c r="K35" s="2" t="s">
        <v>38</v>
      </c>
      <c r="L35" s="2" t="s">
        <v>21</v>
      </c>
      <c r="M35" s="2" t="s">
        <v>40</v>
      </c>
      <c r="N35" s="4" t="s">
        <v>26</v>
      </c>
      <c r="O35" s="2" t="s">
        <v>32</v>
      </c>
    </row>
    <row r="36" spans="1:15" x14ac:dyDescent="0.25">
      <c r="A36" s="4" t="s">
        <v>122</v>
      </c>
      <c r="B36" s="4" t="s">
        <v>136</v>
      </c>
      <c r="C36" s="4" t="s">
        <v>106</v>
      </c>
      <c r="D36" s="4" t="s">
        <v>107</v>
      </c>
      <c r="E36" s="4" t="s">
        <v>108</v>
      </c>
      <c r="F36" s="4" t="s">
        <v>137</v>
      </c>
      <c r="G36" s="4" t="s">
        <v>107</v>
      </c>
      <c r="H36" s="3">
        <v>2</v>
      </c>
      <c r="I36" s="3">
        <v>2</v>
      </c>
      <c r="J36" s="4" t="s">
        <v>30</v>
      </c>
      <c r="K36" s="4" t="s">
        <v>138</v>
      </c>
      <c r="L36" s="4" t="s">
        <v>25</v>
      </c>
      <c r="M36" s="4" t="s">
        <v>24</v>
      </c>
      <c r="N36" s="4" t="s">
        <v>33</v>
      </c>
      <c r="O36" s="4" t="s">
        <v>26</v>
      </c>
    </row>
    <row r="37" spans="1:15" x14ac:dyDescent="0.25">
      <c r="A37" s="4" t="s">
        <v>122</v>
      </c>
      <c r="B37" s="4" t="s">
        <v>136</v>
      </c>
      <c r="C37" s="4" t="s">
        <v>106</v>
      </c>
      <c r="D37" s="4" t="s">
        <v>107</v>
      </c>
      <c r="E37" s="4" t="s">
        <v>108</v>
      </c>
      <c r="F37" s="4" t="s">
        <v>139</v>
      </c>
      <c r="G37" s="4" t="s">
        <v>108</v>
      </c>
      <c r="H37" s="5">
        <v>0</v>
      </c>
      <c r="I37" s="3">
        <v>2</v>
      </c>
      <c r="J37" s="4" t="s">
        <v>30</v>
      </c>
      <c r="K37" s="4" t="s">
        <v>138</v>
      </c>
      <c r="L37" s="4" t="s">
        <v>25</v>
      </c>
      <c r="M37" s="4" t="s">
        <v>69</v>
      </c>
      <c r="N37" s="4" t="s">
        <v>26</v>
      </c>
      <c r="O37" s="4" t="s">
        <v>65</v>
      </c>
    </row>
    <row r="38" spans="1:15" x14ac:dyDescent="0.25">
      <c r="A38" s="2" t="s">
        <v>122</v>
      </c>
      <c r="B38" s="2" t="s">
        <v>116</v>
      </c>
      <c r="C38" s="2" t="s">
        <v>106</v>
      </c>
      <c r="D38" s="2" t="s">
        <v>107</v>
      </c>
      <c r="E38" s="2" t="s">
        <v>108</v>
      </c>
      <c r="F38" s="2" t="s">
        <v>116</v>
      </c>
      <c r="G38" s="2" t="s">
        <v>107</v>
      </c>
      <c r="H38" s="3">
        <v>2</v>
      </c>
      <c r="I38" s="3">
        <v>2</v>
      </c>
      <c r="J38" s="2" t="s">
        <v>42</v>
      </c>
      <c r="K38" s="2" t="s">
        <v>21</v>
      </c>
      <c r="L38" s="2" t="s">
        <v>23</v>
      </c>
      <c r="M38" s="2" t="s">
        <v>43</v>
      </c>
      <c r="N38" s="2" t="s">
        <v>32</v>
      </c>
      <c r="O38" s="2" t="s">
        <v>26</v>
      </c>
    </row>
    <row r="39" spans="1:15" x14ac:dyDescent="0.25">
      <c r="A39" s="2" t="s">
        <v>122</v>
      </c>
      <c r="B39" s="2" t="s">
        <v>116</v>
      </c>
      <c r="C39" s="2" t="s">
        <v>106</v>
      </c>
      <c r="D39" s="2" t="s">
        <v>107</v>
      </c>
      <c r="E39" s="2" t="s">
        <v>108</v>
      </c>
      <c r="F39" s="2" t="s">
        <v>140</v>
      </c>
      <c r="G39" s="2" t="s">
        <v>108</v>
      </c>
      <c r="H39" s="5">
        <v>0</v>
      </c>
      <c r="I39" s="3">
        <v>2</v>
      </c>
      <c r="J39" s="2" t="s">
        <v>141</v>
      </c>
      <c r="K39" s="2" t="s">
        <v>56</v>
      </c>
      <c r="L39" s="2" t="s">
        <v>142</v>
      </c>
      <c r="M39" s="2" t="s">
        <v>143</v>
      </c>
      <c r="N39" s="2" t="s">
        <v>55</v>
      </c>
      <c r="O39" s="2" t="s">
        <v>26</v>
      </c>
    </row>
    <row r="40" spans="1:15" x14ac:dyDescent="0.25">
      <c r="A40" s="4" t="s">
        <v>122</v>
      </c>
      <c r="B40" s="4" t="s">
        <v>144</v>
      </c>
      <c r="C40" s="4" t="s">
        <v>145</v>
      </c>
      <c r="D40" s="4" t="s">
        <v>146</v>
      </c>
      <c r="E40" s="4" t="s">
        <v>132</v>
      </c>
      <c r="F40" s="4" t="s">
        <v>147</v>
      </c>
      <c r="G40" s="4" t="s">
        <v>146</v>
      </c>
      <c r="H40" s="3">
        <v>2</v>
      </c>
      <c r="I40" s="3">
        <v>2</v>
      </c>
      <c r="J40" s="4" t="s">
        <v>23</v>
      </c>
      <c r="K40" s="4" t="s">
        <v>59</v>
      </c>
      <c r="L40" s="4" t="s">
        <v>24</v>
      </c>
      <c r="M40" s="4" t="s">
        <v>25</v>
      </c>
      <c r="N40" s="2" t="s">
        <v>26</v>
      </c>
      <c r="O40" s="2" t="s">
        <v>22</v>
      </c>
    </row>
    <row r="41" spans="1:15" x14ac:dyDescent="0.25">
      <c r="A41" s="4" t="s">
        <v>122</v>
      </c>
      <c r="B41" s="4" t="s">
        <v>144</v>
      </c>
      <c r="C41" s="4" t="s">
        <v>145</v>
      </c>
      <c r="D41" s="4" t="s">
        <v>146</v>
      </c>
      <c r="E41" s="4" t="s">
        <v>132</v>
      </c>
      <c r="F41" s="4" t="s">
        <v>148</v>
      </c>
      <c r="G41" s="4" t="s">
        <v>132</v>
      </c>
      <c r="H41" s="6">
        <v>1</v>
      </c>
      <c r="I41" s="3">
        <v>2</v>
      </c>
      <c r="J41" s="4" t="s">
        <v>149</v>
      </c>
      <c r="K41" s="4" t="s">
        <v>43</v>
      </c>
      <c r="L41" s="4" t="s">
        <v>31</v>
      </c>
      <c r="M41" s="4" t="s">
        <v>138</v>
      </c>
      <c r="N41" s="4" t="s">
        <v>69</v>
      </c>
      <c r="O41" s="4" t="s">
        <v>127</v>
      </c>
    </row>
    <row r="42" spans="1:15" x14ac:dyDescent="0.25">
      <c r="A42" s="2" t="s">
        <v>122</v>
      </c>
      <c r="B42" s="2" t="s">
        <v>100</v>
      </c>
      <c r="C42" s="2" t="s">
        <v>101</v>
      </c>
      <c r="D42" s="2" t="s">
        <v>19</v>
      </c>
      <c r="E42" s="2" t="s">
        <v>80</v>
      </c>
      <c r="F42" s="2" t="s">
        <v>150</v>
      </c>
      <c r="G42" s="2" t="s">
        <v>19</v>
      </c>
      <c r="H42" s="3">
        <v>2</v>
      </c>
      <c r="I42" s="3">
        <v>2</v>
      </c>
      <c r="J42" s="2" t="s">
        <v>151</v>
      </c>
      <c r="K42" s="4" t="s">
        <v>29</v>
      </c>
      <c r="L42" s="2" t="s">
        <v>69</v>
      </c>
      <c r="M42" s="2" t="s">
        <v>38</v>
      </c>
      <c r="N42" s="2" t="s">
        <v>152</v>
      </c>
      <c r="O42" s="2" t="s">
        <v>39</v>
      </c>
    </row>
    <row r="43" spans="1:15" x14ac:dyDescent="0.25">
      <c r="A43" s="2" t="s">
        <v>122</v>
      </c>
      <c r="B43" s="2" t="s">
        <v>100</v>
      </c>
      <c r="C43" s="2" t="s">
        <v>101</v>
      </c>
      <c r="D43" s="2" t="s">
        <v>19</v>
      </c>
      <c r="E43" s="2" t="s">
        <v>80</v>
      </c>
      <c r="F43" s="2" t="s">
        <v>153</v>
      </c>
      <c r="G43" s="2" t="s">
        <v>80</v>
      </c>
      <c r="H43" s="6">
        <v>1</v>
      </c>
      <c r="I43" s="3">
        <v>2</v>
      </c>
      <c r="J43" s="2" t="s">
        <v>154</v>
      </c>
      <c r="K43" s="2" t="s">
        <v>56</v>
      </c>
      <c r="L43" s="2" t="s">
        <v>155</v>
      </c>
      <c r="M43" s="2" t="s">
        <v>74</v>
      </c>
      <c r="N43" s="2" t="s">
        <v>97</v>
      </c>
      <c r="O43" s="2" t="s">
        <v>69</v>
      </c>
    </row>
    <row r="44" spans="1:15" x14ac:dyDescent="0.25">
      <c r="A44" s="4" t="s">
        <v>156</v>
      </c>
      <c r="B44" s="4" t="s">
        <v>157</v>
      </c>
      <c r="C44" s="4" t="s">
        <v>106</v>
      </c>
      <c r="D44" s="4" t="s">
        <v>107</v>
      </c>
      <c r="E44" s="4" t="s">
        <v>108</v>
      </c>
      <c r="F44" s="4" t="s">
        <v>158</v>
      </c>
      <c r="G44" s="4" t="s">
        <v>107</v>
      </c>
      <c r="H44" s="3">
        <v>2</v>
      </c>
      <c r="I44" s="3">
        <v>2</v>
      </c>
      <c r="J44" s="4" t="s">
        <v>21</v>
      </c>
      <c r="K44" s="2" t="s">
        <v>42</v>
      </c>
      <c r="L44" s="4" t="s">
        <v>26</v>
      </c>
      <c r="M44" s="4" t="s">
        <v>32</v>
      </c>
      <c r="N44" s="4" t="s">
        <v>43</v>
      </c>
      <c r="O44" s="4" t="s">
        <v>23</v>
      </c>
    </row>
    <row r="45" spans="1:15" x14ac:dyDescent="0.25">
      <c r="A45" s="4" t="s">
        <v>156</v>
      </c>
      <c r="B45" s="4" t="s">
        <v>157</v>
      </c>
      <c r="C45" s="4" t="s">
        <v>106</v>
      </c>
      <c r="D45" s="4" t="s">
        <v>107</v>
      </c>
      <c r="E45" s="4" t="s">
        <v>108</v>
      </c>
      <c r="F45" s="4" t="s">
        <v>159</v>
      </c>
      <c r="G45" s="4" t="s">
        <v>108</v>
      </c>
      <c r="H45" s="5">
        <v>0</v>
      </c>
      <c r="I45" s="3">
        <v>2</v>
      </c>
      <c r="J45" s="2" t="s">
        <v>42</v>
      </c>
      <c r="K45" s="4" t="s">
        <v>21</v>
      </c>
      <c r="L45" s="4" t="s">
        <v>160</v>
      </c>
      <c r="M45" s="4" t="s">
        <v>32</v>
      </c>
      <c r="N45" s="4" t="s">
        <v>40</v>
      </c>
      <c r="O45" s="4" t="s">
        <v>26</v>
      </c>
    </row>
    <row r="46" spans="1:15" x14ac:dyDescent="0.25">
      <c r="A46" s="7" t="s">
        <v>161</v>
      </c>
      <c r="B46" s="7" t="s">
        <v>100</v>
      </c>
      <c r="C46" s="7" t="s">
        <v>162</v>
      </c>
      <c r="D46" s="7" t="s">
        <v>163</v>
      </c>
      <c r="E46" s="7" t="s">
        <v>19</v>
      </c>
      <c r="F46" s="7" t="s">
        <v>164</v>
      </c>
      <c r="G46" s="7" t="s">
        <v>163</v>
      </c>
      <c r="H46" s="7">
        <v>2</v>
      </c>
      <c r="I46" s="7">
        <v>3</v>
      </c>
      <c r="J46" s="7" t="s">
        <v>151</v>
      </c>
      <c r="K46" s="4" t="s">
        <v>29</v>
      </c>
      <c r="L46" s="7" t="s">
        <v>267</v>
      </c>
      <c r="M46" s="7" t="s">
        <v>39</v>
      </c>
      <c r="N46" s="7" t="s">
        <v>69</v>
      </c>
      <c r="O46" s="7" t="s">
        <v>38</v>
      </c>
    </row>
    <row r="47" spans="1:15" x14ac:dyDescent="0.25">
      <c r="A47" s="7" t="s">
        <v>161</v>
      </c>
      <c r="B47" s="7" t="s">
        <v>100</v>
      </c>
      <c r="C47" s="7" t="s">
        <v>162</v>
      </c>
      <c r="D47" s="7" t="s">
        <v>163</v>
      </c>
      <c r="E47" s="7" t="s">
        <v>19</v>
      </c>
      <c r="F47" s="7" t="s">
        <v>166</v>
      </c>
      <c r="G47" s="7" t="s">
        <v>19</v>
      </c>
      <c r="H47" s="7">
        <v>0</v>
      </c>
      <c r="I47" s="7">
        <v>3</v>
      </c>
      <c r="J47" s="7" t="s">
        <v>37</v>
      </c>
      <c r="K47" s="7" t="s">
        <v>40</v>
      </c>
      <c r="L47" s="7" t="s">
        <v>23</v>
      </c>
      <c r="M47" s="2" t="s">
        <v>26</v>
      </c>
      <c r="N47" s="7" t="s">
        <v>39</v>
      </c>
      <c r="O47" s="7" t="s">
        <v>38</v>
      </c>
    </row>
    <row r="48" spans="1:15" x14ac:dyDescent="0.25">
      <c r="A48" s="7" t="s">
        <v>161</v>
      </c>
      <c r="B48" s="7" t="s">
        <v>111</v>
      </c>
      <c r="C48" s="7" t="s">
        <v>167</v>
      </c>
      <c r="D48" s="7" t="s">
        <v>163</v>
      </c>
      <c r="E48" s="7" t="s">
        <v>19</v>
      </c>
      <c r="F48" s="7" t="s">
        <v>168</v>
      </c>
      <c r="G48" s="7" t="s">
        <v>163</v>
      </c>
      <c r="H48" s="7">
        <v>2</v>
      </c>
      <c r="I48" s="7">
        <v>3</v>
      </c>
      <c r="J48" s="7" t="s">
        <v>56</v>
      </c>
      <c r="K48" s="7" t="s">
        <v>169</v>
      </c>
      <c r="L48" s="7" t="s">
        <v>170</v>
      </c>
      <c r="M48" s="7" t="s">
        <v>57</v>
      </c>
      <c r="N48" s="7" t="s">
        <v>55</v>
      </c>
      <c r="O48" s="2" t="s">
        <v>26</v>
      </c>
    </row>
    <row r="49" spans="1:15" x14ac:dyDescent="0.25">
      <c r="A49" s="7" t="s">
        <v>161</v>
      </c>
      <c r="B49" s="7" t="s">
        <v>111</v>
      </c>
      <c r="C49" s="7" t="s">
        <v>167</v>
      </c>
      <c r="D49" s="7" t="s">
        <v>163</v>
      </c>
      <c r="E49" s="7" t="s">
        <v>19</v>
      </c>
      <c r="F49" s="7" t="s">
        <v>81</v>
      </c>
      <c r="G49" s="7" t="s">
        <v>19</v>
      </c>
      <c r="H49" s="7">
        <v>1</v>
      </c>
      <c r="I49" s="7">
        <v>3</v>
      </c>
      <c r="J49" s="7" t="s">
        <v>23</v>
      </c>
      <c r="K49" s="4" t="s">
        <v>26</v>
      </c>
      <c r="L49" s="7" t="s">
        <v>32</v>
      </c>
      <c r="M49" s="7" t="s">
        <v>43</v>
      </c>
      <c r="N49" s="7" t="s">
        <v>73</v>
      </c>
      <c r="O49" s="7" t="s">
        <v>25</v>
      </c>
    </row>
    <row r="50" spans="1:15" x14ac:dyDescent="0.25">
      <c r="A50" s="7" t="s">
        <v>161</v>
      </c>
      <c r="B50" s="7" t="s">
        <v>171</v>
      </c>
      <c r="C50" s="7" t="s">
        <v>172</v>
      </c>
      <c r="D50" s="7" t="s">
        <v>63</v>
      </c>
      <c r="E50" s="7" t="s">
        <v>108</v>
      </c>
      <c r="F50" s="7" t="s">
        <v>171</v>
      </c>
      <c r="G50" s="7" t="s">
        <v>63</v>
      </c>
      <c r="H50" s="7">
        <v>2</v>
      </c>
      <c r="I50" s="7">
        <v>3</v>
      </c>
      <c r="J50" s="7" t="s">
        <v>23</v>
      </c>
      <c r="K50" s="7" t="s">
        <v>38</v>
      </c>
      <c r="L50" s="4" t="s">
        <v>31</v>
      </c>
      <c r="M50" s="7" t="s">
        <v>32</v>
      </c>
      <c r="N50" s="7" t="s">
        <v>174</v>
      </c>
      <c r="O50" s="7" t="s">
        <v>25</v>
      </c>
    </row>
    <row r="51" spans="1:15" x14ac:dyDescent="0.25">
      <c r="A51" s="7" t="s">
        <v>161</v>
      </c>
      <c r="B51" s="7" t="s">
        <v>171</v>
      </c>
      <c r="C51" s="7" t="s">
        <v>172</v>
      </c>
      <c r="D51" s="7" t="s">
        <v>63</v>
      </c>
      <c r="E51" s="7" t="s">
        <v>108</v>
      </c>
      <c r="F51" s="7" t="s">
        <v>175</v>
      </c>
      <c r="G51" s="7" t="s">
        <v>108</v>
      </c>
      <c r="H51" s="7">
        <v>1</v>
      </c>
      <c r="I51" s="7">
        <v>3</v>
      </c>
      <c r="J51" s="7" t="s">
        <v>39</v>
      </c>
      <c r="K51" s="7" t="s">
        <v>176</v>
      </c>
      <c r="L51" s="7" t="s">
        <v>177</v>
      </c>
      <c r="M51" s="7" t="s">
        <v>69</v>
      </c>
      <c r="N51" s="7" t="s">
        <v>23</v>
      </c>
      <c r="O51" s="7" t="s">
        <v>38</v>
      </c>
    </row>
    <row r="52" spans="1:15" x14ac:dyDescent="0.25">
      <c r="A52" s="7" t="s">
        <v>178</v>
      </c>
      <c r="B52" s="7" t="s">
        <v>144</v>
      </c>
      <c r="C52" s="7" t="s">
        <v>179</v>
      </c>
      <c r="D52" s="7" t="s">
        <v>133</v>
      </c>
      <c r="E52" s="7" t="s">
        <v>51</v>
      </c>
      <c r="F52" s="7" t="s">
        <v>147</v>
      </c>
      <c r="G52" s="7" t="s">
        <v>133</v>
      </c>
      <c r="H52" s="7">
        <v>2</v>
      </c>
      <c r="I52" s="7">
        <v>3</v>
      </c>
      <c r="J52" s="4" t="s">
        <v>24</v>
      </c>
      <c r="K52" s="4" t="s">
        <v>59</v>
      </c>
      <c r="L52" s="7" t="s">
        <v>23</v>
      </c>
      <c r="M52" s="7" t="s">
        <v>25</v>
      </c>
      <c r="N52" s="7" t="s">
        <v>26</v>
      </c>
      <c r="O52" s="7" t="s">
        <v>181</v>
      </c>
    </row>
    <row r="53" spans="1:15" x14ac:dyDescent="0.25">
      <c r="A53" s="7" t="s">
        <v>178</v>
      </c>
      <c r="B53" s="7" t="s">
        <v>144</v>
      </c>
      <c r="C53" s="7" t="s">
        <v>179</v>
      </c>
      <c r="D53" s="7" t="s">
        <v>133</v>
      </c>
      <c r="E53" s="7" t="s">
        <v>51</v>
      </c>
      <c r="F53" s="7" t="s">
        <v>121</v>
      </c>
      <c r="G53" s="7" t="s">
        <v>51</v>
      </c>
      <c r="H53" s="7">
        <v>0</v>
      </c>
      <c r="I53" s="7">
        <v>3</v>
      </c>
      <c r="J53" s="7" t="s">
        <v>69</v>
      </c>
      <c r="K53" s="7" t="s">
        <v>25</v>
      </c>
      <c r="L53" s="7" t="s">
        <v>32</v>
      </c>
      <c r="M53" s="2" t="s">
        <v>26</v>
      </c>
      <c r="N53" s="7" t="s">
        <v>182</v>
      </c>
      <c r="O53" s="7" t="s">
        <v>67</v>
      </c>
    </row>
    <row r="54" spans="1:15" x14ac:dyDescent="0.25">
      <c r="A54" s="7" t="s">
        <v>178</v>
      </c>
      <c r="B54" s="7" t="s">
        <v>183</v>
      </c>
      <c r="C54" s="7" t="s">
        <v>184</v>
      </c>
      <c r="D54" s="7" t="s">
        <v>107</v>
      </c>
      <c r="E54" s="7" t="s">
        <v>80</v>
      </c>
      <c r="F54" s="7" t="s">
        <v>116</v>
      </c>
      <c r="G54" s="7" t="s">
        <v>107</v>
      </c>
      <c r="H54" s="7">
        <v>2</v>
      </c>
      <c r="I54" s="7">
        <v>3</v>
      </c>
      <c r="J54" s="7" t="s">
        <v>43</v>
      </c>
      <c r="K54" s="2" t="s">
        <v>42</v>
      </c>
      <c r="L54" s="7" t="s">
        <v>32</v>
      </c>
      <c r="M54" s="7" t="s">
        <v>87</v>
      </c>
      <c r="N54" s="7" t="s">
        <v>185</v>
      </c>
      <c r="O54" s="2" t="s">
        <v>26</v>
      </c>
    </row>
    <row r="55" spans="1:15" x14ac:dyDescent="0.25">
      <c r="A55" s="7" t="s">
        <v>178</v>
      </c>
      <c r="B55" s="7" t="s">
        <v>183</v>
      </c>
      <c r="C55" s="7" t="s">
        <v>184</v>
      </c>
      <c r="D55" s="7" t="s">
        <v>107</v>
      </c>
      <c r="E55" s="7" t="s">
        <v>80</v>
      </c>
      <c r="F55" s="7" t="s">
        <v>82</v>
      </c>
      <c r="G55" s="7" t="s">
        <v>80</v>
      </c>
      <c r="H55" s="7">
        <v>1</v>
      </c>
      <c r="I55" s="7">
        <v>3</v>
      </c>
      <c r="J55" s="7" t="s">
        <v>25</v>
      </c>
      <c r="K55" s="2" t="s">
        <v>266</v>
      </c>
      <c r="L55" s="4" t="s">
        <v>43</v>
      </c>
      <c r="M55" s="7" t="s">
        <v>23</v>
      </c>
      <c r="N55" s="7" t="s">
        <v>69</v>
      </c>
      <c r="O55" s="7" t="s">
        <v>169</v>
      </c>
    </row>
    <row r="56" spans="1:15" x14ac:dyDescent="0.25">
      <c r="A56" s="7" t="s">
        <v>178</v>
      </c>
      <c r="B56" s="7" t="s">
        <v>187</v>
      </c>
      <c r="C56" s="7" t="s">
        <v>179</v>
      </c>
      <c r="D56" s="7" t="s">
        <v>133</v>
      </c>
      <c r="E56" s="7" t="s">
        <v>51</v>
      </c>
      <c r="F56" s="7" t="s">
        <v>188</v>
      </c>
      <c r="G56" s="7" t="s">
        <v>133</v>
      </c>
      <c r="H56" s="7">
        <v>2</v>
      </c>
      <c r="I56" s="7">
        <v>3</v>
      </c>
      <c r="J56" s="7" t="s">
        <v>21</v>
      </c>
      <c r="K56" s="2" t="s">
        <v>42</v>
      </c>
      <c r="L56" s="7" t="s">
        <v>23</v>
      </c>
      <c r="M56" s="2" t="s">
        <v>26</v>
      </c>
      <c r="N56" s="7" t="s">
        <v>32</v>
      </c>
      <c r="O56" s="7" t="s">
        <v>43</v>
      </c>
    </row>
    <row r="57" spans="1:15" x14ac:dyDescent="0.25">
      <c r="A57" s="7" t="s">
        <v>178</v>
      </c>
      <c r="B57" s="7" t="s">
        <v>187</v>
      </c>
      <c r="C57" s="7" t="s">
        <v>179</v>
      </c>
      <c r="D57" s="7" t="s">
        <v>133</v>
      </c>
      <c r="E57" s="7" t="s">
        <v>51</v>
      </c>
      <c r="F57" s="7" t="s">
        <v>189</v>
      </c>
      <c r="G57" s="7" t="s">
        <v>51</v>
      </c>
      <c r="H57" s="7">
        <v>0</v>
      </c>
      <c r="I57" s="7">
        <v>3</v>
      </c>
      <c r="J57" s="7" t="s">
        <v>190</v>
      </c>
      <c r="K57" s="4" t="s">
        <v>99</v>
      </c>
      <c r="L57" s="7" t="s">
        <v>65</v>
      </c>
      <c r="M57" s="7" t="s">
        <v>69</v>
      </c>
      <c r="N57" s="7" t="s">
        <v>25</v>
      </c>
      <c r="O57" s="7" t="s">
        <v>23</v>
      </c>
    </row>
    <row r="58" spans="1:15" x14ac:dyDescent="0.25">
      <c r="A58" s="7" t="s">
        <v>178</v>
      </c>
      <c r="B58" s="7" t="s">
        <v>192</v>
      </c>
      <c r="C58" s="7" t="s">
        <v>193</v>
      </c>
      <c r="D58" s="7" t="s">
        <v>80</v>
      </c>
      <c r="E58" s="7" t="s">
        <v>107</v>
      </c>
      <c r="F58" s="7" t="s">
        <v>194</v>
      </c>
      <c r="G58" s="7" t="s">
        <v>80</v>
      </c>
      <c r="H58" s="7">
        <v>2</v>
      </c>
      <c r="I58" s="7">
        <v>3</v>
      </c>
      <c r="J58" s="7" t="s">
        <v>195</v>
      </c>
      <c r="K58" s="7" t="s">
        <v>32</v>
      </c>
      <c r="L58" s="7" t="s">
        <v>173</v>
      </c>
      <c r="M58" s="7" t="s">
        <v>69</v>
      </c>
      <c r="N58" s="4" t="s">
        <v>99</v>
      </c>
      <c r="O58" s="7" t="s">
        <v>25</v>
      </c>
    </row>
    <row r="59" spans="1:15" x14ac:dyDescent="0.25">
      <c r="A59" s="7" t="s">
        <v>178</v>
      </c>
      <c r="B59" s="7" t="s">
        <v>192</v>
      </c>
      <c r="C59" s="7" t="s">
        <v>193</v>
      </c>
      <c r="D59" s="7" t="s">
        <v>80</v>
      </c>
      <c r="E59" s="7" t="s">
        <v>107</v>
      </c>
      <c r="F59" s="7" t="s">
        <v>118</v>
      </c>
      <c r="G59" s="7" t="s">
        <v>107</v>
      </c>
      <c r="H59" s="7">
        <v>1</v>
      </c>
      <c r="I59" s="7">
        <v>3</v>
      </c>
      <c r="J59" s="7" t="s">
        <v>173</v>
      </c>
      <c r="K59" s="7" t="s">
        <v>56</v>
      </c>
      <c r="L59" s="7" t="s">
        <v>32</v>
      </c>
      <c r="M59" s="7" t="s">
        <v>33</v>
      </c>
      <c r="N59" s="7" t="s">
        <v>196</v>
      </c>
      <c r="O59" s="7" t="s">
        <v>23</v>
      </c>
    </row>
    <row r="60" spans="1:15" x14ac:dyDescent="0.25">
      <c r="A60" s="7" t="s">
        <v>178</v>
      </c>
      <c r="B60" s="7" t="s">
        <v>16</v>
      </c>
      <c r="C60" s="7" t="s">
        <v>193</v>
      </c>
      <c r="D60" s="7" t="s">
        <v>80</v>
      </c>
      <c r="E60" s="7" t="s">
        <v>107</v>
      </c>
      <c r="F60" s="7" t="s">
        <v>20</v>
      </c>
      <c r="G60" s="7" t="s">
        <v>80</v>
      </c>
      <c r="H60" s="7">
        <v>2</v>
      </c>
      <c r="I60" s="7">
        <v>3</v>
      </c>
      <c r="J60" s="7" t="s">
        <v>181</v>
      </c>
      <c r="K60" s="7" t="s">
        <v>180</v>
      </c>
      <c r="L60" s="7" t="s">
        <v>21</v>
      </c>
      <c r="M60" s="7" t="s">
        <v>25</v>
      </c>
      <c r="N60" s="2" t="s">
        <v>26</v>
      </c>
      <c r="O60" s="7" t="s">
        <v>23</v>
      </c>
    </row>
    <row r="61" spans="1:15" x14ac:dyDescent="0.25">
      <c r="A61" s="7" t="s">
        <v>178</v>
      </c>
      <c r="B61" s="7" t="s">
        <v>16</v>
      </c>
      <c r="C61" s="7" t="s">
        <v>193</v>
      </c>
      <c r="D61" s="7" t="s">
        <v>80</v>
      </c>
      <c r="E61" s="7" t="s">
        <v>107</v>
      </c>
      <c r="F61" s="7" t="s">
        <v>125</v>
      </c>
      <c r="G61" s="7" t="s">
        <v>107</v>
      </c>
      <c r="H61" s="7">
        <v>1</v>
      </c>
      <c r="I61" s="7">
        <v>3</v>
      </c>
      <c r="J61" s="7" t="s">
        <v>43</v>
      </c>
      <c r="K61" s="7" t="s">
        <v>69</v>
      </c>
      <c r="L61" s="7" t="s">
        <v>197</v>
      </c>
      <c r="M61" s="7" t="s">
        <v>169</v>
      </c>
      <c r="N61" s="7" t="s">
        <v>198</v>
      </c>
      <c r="O61" s="2" t="s">
        <v>74</v>
      </c>
    </row>
    <row r="62" spans="1:15" x14ac:dyDescent="0.25">
      <c r="A62" s="7" t="s">
        <v>178</v>
      </c>
      <c r="B62" s="7" t="s">
        <v>200</v>
      </c>
      <c r="C62" s="7" t="s">
        <v>201</v>
      </c>
      <c r="D62" s="7" t="s">
        <v>107</v>
      </c>
      <c r="E62" s="7" t="s">
        <v>80</v>
      </c>
      <c r="F62" s="7" t="s">
        <v>109</v>
      </c>
      <c r="G62" s="7" t="s">
        <v>107</v>
      </c>
      <c r="H62" s="7">
        <v>2</v>
      </c>
      <c r="I62" s="7">
        <v>3</v>
      </c>
      <c r="J62" s="7" t="s">
        <v>182</v>
      </c>
      <c r="K62" s="7" t="s">
        <v>23</v>
      </c>
      <c r="L62" s="7" t="s">
        <v>25</v>
      </c>
      <c r="M62" s="7" t="s">
        <v>32</v>
      </c>
      <c r="N62" s="2" t="s">
        <v>26</v>
      </c>
      <c r="O62" s="7" t="s">
        <v>87</v>
      </c>
    </row>
    <row r="63" spans="1:15" x14ac:dyDescent="0.25">
      <c r="A63" s="7" t="s">
        <v>178</v>
      </c>
      <c r="B63" s="7" t="s">
        <v>200</v>
      </c>
      <c r="C63" s="7" t="s">
        <v>201</v>
      </c>
      <c r="D63" s="7" t="s">
        <v>107</v>
      </c>
      <c r="E63" s="7" t="s">
        <v>80</v>
      </c>
      <c r="F63" s="7" t="s">
        <v>202</v>
      </c>
      <c r="G63" s="7" t="s">
        <v>80</v>
      </c>
      <c r="H63" s="7">
        <v>0</v>
      </c>
      <c r="I63" s="7">
        <v>3</v>
      </c>
      <c r="J63" s="7" t="s">
        <v>182</v>
      </c>
      <c r="K63" s="7" t="s">
        <v>21</v>
      </c>
      <c r="L63" s="7" t="s">
        <v>32</v>
      </c>
      <c r="M63" s="7" t="s">
        <v>23</v>
      </c>
      <c r="N63" s="2" t="s">
        <v>26</v>
      </c>
      <c r="O63" s="7" t="s">
        <v>40</v>
      </c>
    </row>
    <row r="64" spans="1:15" x14ac:dyDescent="0.25">
      <c r="A64" s="7" t="s">
        <v>178</v>
      </c>
      <c r="B64" s="7" t="s">
        <v>203</v>
      </c>
      <c r="C64" s="7" t="s">
        <v>162</v>
      </c>
      <c r="D64" s="7" t="s">
        <v>163</v>
      </c>
      <c r="E64" s="7" t="s">
        <v>19</v>
      </c>
      <c r="F64" s="7" t="s">
        <v>204</v>
      </c>
      <c r="G64" s="7" t="s">
        <v>163</v>
      </c>
      <c r="H64" s="7">
        <v>2</v>
      </c>
      <c r="I64" s="7">
        <v>3</v>
      </c>
      <c r="J64" s="7" t="s">
        <v>182</v>
      </c>
      <c r="K64" s="7" t="s">
        <v>87</v>
      </c>
      <c r="L64" s="7" t="s">
        <v>32</v>
      </c>
      <c r="M64" s="7" t="s">
        <v>26</v>
      </c>
      <c r="N64" s="7" t="s">
        <v>185</v>
      </c>
      <c r="O64" s="7" t="s">
        <v>23</v>
      </c>
    </row>
    <row r="65" spans="1:15" x14ac:dyDescent="0.25">
      <c r="A65" s="7" t="s">
        <v>178</v>
      </c>
      <c r="B65" s="7" t="s">
        <v>203</v>
      </c>
      <c r="C65" s="7" t="s">
        <v>162</v>
      </c>
      <c r="D65" s="7" t="s">
        <v>163</v>
      </c>
      <c r="E65" s="7" t="s">
        <v>19</v>
      </c>
      <c r="F65" s="7" t="s">
        <v>205</v>
      </c>
      <c r="G65" s="7" t="s">
        <v>19</v>
      </c>
      <c r="H65" s="7">
        <v>0</v>
      </c>
      <c r="I65" s="7">
        <v>3</v>
      </c>
      <c r="J65" s="7" t="s">
        <v>149</v>
      </c>
      <c r="K65" s="7" t="s">
        <v>138</v>
      </c>
      <c r="L65" s="7" t="s">
        <v>195</v>
      </c>
      <c r="M65" s="7" t="s">
        <v>206</v>
      </c>
      <c r="N65" s="7" t="s">
        <v>169</v>
      </c>
      <c r="O65" s="7" t="s">
        <v>40</v>
      </c>
    </row>
    <row r="66" spans="1:15" x14ac:dyDescent="0.25">
      <c r="A66" s="7" t="s">
        <v>178</v>
      </c>
      <c r="B66" s="7" t="s">
        <v>207</v>
      </c>
      <c r="C66" s="7" t="s">
        <v>208</v>
      </c>
      <c r="D66" s="7" t="s">
        <v>133</v>
      </c>
      <c r="E66" s="7" t="s">
        <v>51</v>
      </c>
      <c r="F66" s="7" t="s">
        <v>209</v>
      </c>
      <c r="G66" s="7" t="s">
        <v>133</v>
      </c>
      <c r="H66" s="7">
        <v>2</v>
      </c>
      <c r="I66" s="7">
        <v>3</v>
      </c>
      <c r="J66" s="7" t="s">
        <v>182</v>
      </c>
      <c r="K66" s="7" t="s">
        <v>185</v>
      </c>
      <c r="L66" s="7" t="s">
        <v>32</v>
      </c>
      <c r="M66" s="7" t="s">
        <v>23</v>
      </c>
      <c r="N66" s="2" t="s">
        <v>26</v>
      </c>
      <c r="O66" s="7" t="s">
        <v>87</v>
      </c>
    </row>
    <row r="67" spans="1:15" x14ac:dyDescent="0.25">
      <c r="A67" s="7" t="s">
        <v>178</v>
      </c>
      <c r="B67" s="7" t="s">
        <v>207</v>
      </c>
      <c r="C67" s="7" t="s">
        <v>208</v>
      </c>
      <c r="D67" s="7" t="s">
        <v>133</v>
      </c>
      <c r="E67" s="7" t="s">
        <v>51</v>
      </c>
      <c r="F67" s="7" t="s">
        <v>210</v>
      </c>
      <c r="G67" s="7" t="s">
        <v>51</v>
      </c>
      <c r="H67" s="7">
        <v>1</v>
      </c>
      <c r="I67" s="7">
        <v>3</v>
      </c>
      <c r="J67" s="7" t="s">
        <v>211</v>
      </c>
      <c r="K67" s="7" t="s">
        <v>173</v>
      </c>
      <c r="L67" s="7" t="s">
        <v>32</v>
      </c>
      <c r="M67" s="7" t="s">
        <v>69</v>
      </c>
      <c r="N67" s="7" t="s">
        <v>169</v>
      </c>
      <c r="O67" s="7" t="s">
        <v>149</v>
      </c>
    </row>
    <row r="68" spans="1:15" x14ac:dyDescent="0.25">
      <c r="A68" s="7" t="s">
        <v>178</v>
      </c>
      <c r="B68" s="7" t="s">
        <v>70</v>
      </c>
      <c r="C68" s="7" t="s">
        <v>208</v>
      </c>
      <c r="D68" s="7" t="s">
        <v>133</v>
      </c>
      <c r="E68" s="7" t="s">
        <v>51</v>
      </c>
      <c r="F68" s="7" t="s">
        <v>72</v>
      </c>
      <c r="G68" s="7" t="s">
        <v>133</v>
      </c>
      <c r="H68" s="7">
        <v>2</v>
      </c>
      <c r="I68" s="7">
        <v>3</v>
      </c>
      <c r="J68" s="7" t="s">
        <v>29</v>
      </c>
      <c r="K68" s="7" t="s">
        <v>32</v>
      </c>
      <c r="L68" s="7" t="s">
        <v>73</v>
      </c>
      <c r="M68" s="7" t="s">
        <v>26</v>
      </c>
      <c r="N68" s="7" t="s">
        <v>23</v>
      </c>
      <c r="O68" s="2" t="s">
        <v>74</v>
      </c>
    </row>
    <row r="69" spans="1:15" x14ac:dyDescent="0.25">
      <c r="A69" s="7" t="s">
        <v>178</v>
      </c>
      <c r="B69" s="7" t="s">
        <v>70</v>
      </c>
      <c r="C69" s="7" t="s">
        <v>208</v>
      </c>
      <c r="D69" s="7" t="s">
        <v>133</v>
      </c>
      <c r="E69" s="7" t="s">
        <v>51</v>
      </c>
      <c r="F69" s="7" t="s">
        <v>212</v>
      </c>
      <c r="G69" s="7" t="s">
        <v>51</v>
      </c>
      <c r="H69" s="7">
        <v>1</v>
      </c>
      <c r="I69" s="7">
        <v>3</v>
      </c>
      <c r="J69" s="7" t="s">
        <v>87</v>
      </c>
      <c r="K69" s="7" t="s">
        <v>26</v>
      </c>
      <c r="L69" s="7" t="s">
        <v>25</v>
      </c>
      <c r="M69" s="7" t="s">
        <v>40</v>
      </c>
      <c r="N69" s="7" t="s">
        <v>23</v>
      </c>
      <c r="O69" s="7" t="s">
        <v>21</v>
      </c>
    </row>
    <row r="70" spans="1:15" x14ac:dyDescent="0.25">
      <c r="A70" s="7" t="s">
        <v>178</v>
      </c>
      <c r="B70" s="7" t="s">
        <v>213</v>
      </c>
      <c r="C70" s="7" t="s">
        <v>214</v>
      </c>
      <c r="D70" s="7" t="s">
        <v>63</v>
      </c>
      <c r="E70" s="7" t="s">
        <v>108</v>
      </c>
      <c r="F70" s="7" t="s">
        <v>215</v>
      </c>
      <c r="G70" s="7" t="s">
        <v>63</v>
      </c>
      <c r="H70" s="7">
        <v>2</v>
      </c>
      <c r="I70" s="7">
        <v>3</v>
      </c>
      <c r="J70" s="7" t="s">
        <v>185</v>
      </c>
      <c r="K70" s="7" t="s">
        <v>32</v>
      </c>
      <c r="L70" s="7" t="s">
        <v>191</v>
      </c>
      <c r="M70" s="7" t="s">
        <v>69</v>
      </c>
      <c r="N70" s="7" t="s">
        <v>173</v>
      </c>
      <c r="O70" s="7" t="s">
        <v>216</v>
      </c>
    </row>
    <row r="71" spans="1:15" x14ac:dyDescent="0.25">
      <c r="A71" s="7" t="s">
        <v>178</v>
      </c>
      <c r="B71" s="7" t="s">
        <v>213</v>
      </c>
      <c r="C71" s="7" t="s">
        <v>214</v>
      </c>
      <c r="D71" s="7" t="s">
        <v>63</v>
      </c>
      <c r="E71" s="7" t="s">
        <v>108</v>
      </c>
      <c r="F71" s="7" t="s">
        <v>217</v>
      </c>
      <c r="G71" s="7" t="s">
        <v>108</v>
      </c>
      <c r="H71" s="7">
        <v>0</v>
      </c>
      <c r="I71" s="7">
        <v>3</v>
      </c>
      <c r="J71" s="7" t="s">
        <v>218</v>
      </c>
      <c r="K71" s="7" t="s">
        <v>219</v>
      </c>
      <c r="L71" s="7" t="s">
        <v>67</v>
      </c>
      <c r="M71" s="7" t="s">
        <v>32</v>
      </c>
      <c r="N71" s="7" t="s">
        <v>23</v>
      </c>
      <c r="O71" s="7" t="s">
        <v>69</v>
      </c>
    </row>
    <row r="72" spans="1:15" x14ac:dyDescent="0.25">
      <c r="A72" s="7" t="s">
        <v>178</v>
      </c>
      <c r="B72" s="7" t="s">
        <v>220</v>
      </c>
      <c r="C72" s="7" t="s">
        <v>193</v>
      </c>
      <c r="D72" s="7" t="s">
        <v>80</v>
      </c>
      <c r="E72" s="7" t="s">
        <v>107</v>
      </c>
      <c r="F72" s="7" t="s">
        <v>221</v>
      </c>
      <c r="G72" s="7" t="s">
        <v>80</v>
      </c>
      <c r="H72" s="7">
        <v>2</v>
      </c>
      <c r="I72" s="7">
        <v>3</v>
      </c>
      <c r="J72" s="7" t="s">
        <v>21</v>
      </c>
      <c r="K72" s="7" t="s">
        <v>40</v>
      </c>
      <c r="L72" s="7" t="s">
        <v>180</v>
      </c>
      <c r="M72" s="7" t="s">
        <v>23</v>
      </c>
      <c r="N72" s="2" t="s">
        <v>26</v>
      </c>
      <c r="O72" s="7" t="s">
        <v>65</v>
      </c>
    </row>
    <row r="73" spans="1:15" x14ac:dyDescent="0.25">
      <c r="A73" s="7" t="s">
        <v>178</v>
      </c>
      <c r="B73" s="7" t="s">
        <v>220</v>
      </c>
      <c r="C73" s="7" t="s">
        <v>193</v>
      </c>
      <c r="D73" s="7" t="s">
        <v>80</v>
      </c>
      <c r="E73" s="7" t="s">
        <v>107</v>
      </c>
      <c r="F73" s="7" t="s">
        <v>222</v>
      </c>
      <c r="G73" s="7" t="s">
        <v>107</v>
      </c>
      <c r="H73" s="7">
        <v>1</v>
      </c>
      <c r="I73" s="7">
        <v>3</v>
      </c>
      <c r="J73" s="7" t="s">
        <v>21</v>
      </c>
      <c r="K73" s="7" t="s">
        <v>26</v>
      </c>
      <c r="L73" s="7" t="s">
        <v>223</v>
      </c>
      <c r="M73" s="7" t="s">
        <v>23</v>
      </c>
      <c r="N73" s="7" t="s">
        <v>174</v>
      </c>
      <c r="O73" s="7" t="s">
        <v>32</v>
      </c>
    </row>
    <row r="74" spans="1:15" x14ac:dyDescent="0.25">
      <c r="A74" s="7" t="s">
        <v>178</v>
      </c>
      <c r="B74" s="7" t="s">
        <v>224</v>
      </c>
      <c r="C74" s="7" t="s">
        <v>193</v>
      </c>
      <c r="D74" s="7" t="s">
        <v>80</v>
      </c>
      <c r="E74" s="7" t="s">
        <v>107</v>
      </c>
      <c r="F74" s="7" t="s">
        <v>225</v>
      </c>
      <c r="G74" s="7" t="s">
        <v>80</v>
      </c>
      <c r="H74" s="7">
        <v>2</v>
      </c>
      <c r="I74" s="7">
        <v>3</v>
      </c>
      <c r="J74" s="7" t="s">
        <v>21</v>
      </c>
      <c r="K74" s="7" t="s">
        <v>40</v>
      </c>
      <c r="L74" s="7" t="s">
        <v>182</v>
      </c>
      <c r="M74" s="7" t="s">
        <v>23</v>
      </c>
      <c r="N74" s="2" t="s">
        <v>26</v>
      </c>
      <c r="O74" s="7" t="s">
        <v>32</v>
      </c>
    </row>
    <row r="75" spans="1:15" x14ac:dyDescent="0.25">
      <c r="A75" s="7" t="s">
        <v>178</v>
      </c>
      <c r="B75" s="7" t="s">
        <v>224</v>
      </c>
      <c r="C75" s="7" t="s">
        <v>193</v>
      </c>
      <c r="D75" s="7" t="s">
        <v>80</v>
      </c>
      <c r="E75" s="7" t="s">
        <v>107</v>
      </c>
      <c r="F75" s="7" t="s">
        <v>136</v>
      </c>
      <c r="G75" s="7" t="s">
        <v>107</v>
      </c>
      <c r="H75" s="7">
        <v>1</v>
      </c>
      <c r="I75" s="7">
        <v>3</v>
      </c>
      <c r="J75" s="7" t="s">
        <v>226</v>
      </c>
      <c r="K75" s="7" t="s">
        <v>38</v>
      </c>
      <c r="L75" s="7" t="s">
        <v>39</v>
      </c>
      <c r="M75" s="7" t="s">
        <v>227</v>
      </c>
      <c r="N75" s="2" t="s">
        <v>26</v>
      </c>
      <c r="O75" s="2" t="s">
        <v>37</v>
      </c>
    </row>
    <row r="76" spans="1:15" x14ac:dyDescent="0.25">
      <c r="A76" s="7" t="s">
        <v>178</v>
      </c>
      <c r="B76" s="7" t="s">
        <v>228</v>
      </c>
      <c r="C76" s="7" t="s">
        <v>167</v>
      </c>
      <c r="D76" s="7" t="s">
        <v>163</v>
      </c>
      <c r="E76" s="7" t="s">
        <v>19</v>
      </c>
      <c r="F76" s="7" t="s">
        <v>120</v>
      </c>
      <c r="G76" s="7" t="s">
        <v>163</v>
      </c>
      <c r="H76" s="7">
        <v>2</v>
      </c>
      <c r="I76" s="7">
        <v>3</v>
      </c>
      <c r="J76" s="7" t="s">
        <v>229</v>
      </c>
      <c r="K76" s="7" t="s">
        <v>73</v>
      </c>
      <c r="L76" s="7" t="s">
        <v>32</v>
      </c>
      <c r="M76" s="7" t="s">
        <v>216</v>
      </c>
      <c r="N76" s="7" t="s">
        <v>173</v>
      </c>
      <c r="O76" s="4" t="s">
        <v>99</v>
      </c>
    </row>
    <row r="77" spans="1:15" x14ac:dyDescent="0.25">
      <c r="A77" s="7" t="s">
        <v>178</v>
      </c>
      <c r="B77" s="7" t="s">
        <v>228</v>
      </c>
      <c r="C77" s="7" t="s">
        <v>167</v>
      </c>
      <c r="D77" s="7" t="s">
        <v>163</v>
      </c>
      <c r="E77" s="7" t="s">
        <v>19</v>
      </c>
      <c r="F77" s="7" t="s">
        <v>36</v>
      </c>
      <c r="G77" s="7" t="s">
        <v>19</v>
      </c>
      <c r="H77" s="7">
        <v>1</v>
      </c>
      <c r="I77" s="7">
        <v>3</v>
      </c>
      <c r="J77" s="4" t="s">
        <v>43</v>
      </c>
      <c r="K77" s="7" t="s">
        <v>23</v>
      </c>
      <c r="L77" s="7" t="s">
        <v>32</v>
      </c>
      <c r="M77" s="7" t="s">
        <v>26</v>
      </c>
      <c r="N77" s="7" t="s">
        <v>25</v>
      </c>
      <c r="O77" s="7" t="s">
        <v>59</v>
      </c>
    </row>
    <row r="78" spans="1:15" x14ac:dyDescent="0.25">
      <c r="A78" s="7" t="s">
        <v>231</v>
      </c>
      <c r="B78" s="7" t="s">
        <v>232</v>
      </c>
      <c r="C78" s="7" t="s">
        <v>233</v>
      </c>
      <c r="D78" s="7" t="s">
        <v>19</v>
      </c>
      <c r="E78" s="7" t="s">
        <v>163</v>
      </c>
      <c r="F78" s="7" t="s">
        <v>234</v>
      </c>
      <c r="G78" s="7" t="s">
        <v>19</v>
      </c>
      <c r="H78" s="7">
        <v>2</v>
      </c>
      <c r="I78" s="7">
        <v>3</v>
      </c>
      <c r="J78" s="7" t="s">
        <v>235</v>
      </c>
      <c r="K78" s="7" t="s">
        <v>196</v>
      </c>
      <c r="L78" s="7" t="s">
        <v>236</v>
      </c>
      <c r="M78" s="7" t="s">
        <v>237</v>
      </c>
      <c r="N78" s="7" t="s">
        <v>69</v>
      </c>
      <c r="O78" s="7" t="s">
        <v>169</v>
      </c>
    </row>
    <row r="79" spans="1:15" x14ac:dyDescent="0.25">
      <c r="A79" s="7" t="s">
        <v>231</v>
      </c>
      <c r="B79" s="7" t="s">
        <v>232</v>
      </c>
      <c r="C79" s="7" t="s">
        <v>233</v>
      </c>
      <c r="D79" s="7" t="s">
        <v>19</v>
      </c>
      <c r="E79" s="7" t="s">
        <v>163</v>
      </c>
      <c r="F79" s="7" t="s">
        <v>238</v>
      </c>
      <c r="G79" s="7" t="s">
        <v>163</v>
      </c>
      <c r="H79" s="7">
        <v>1</v>
      </c>
      <c r="I79" s="7">
        <v>3</v>
      </c>
      <c r="J79" s="7" t="s">
        <v>197</v>
      </c>
      <c r="K79" s="7" t="s">
        <v>69</v>
      </c>
      <c r="L79" s="7" t="s">
        <v>177</v>
      </c>
      <c r="M79" s="7" t="s">
        <v>26</v>
      </c>
      <c r="N79" s="7" t="s">
        <v>40</v>
      </c>
      <c r="O79" s="7" t="s">
        <v>38</v>
      </c>
    </row>
    <row r="80" spans="1:15" x14ac:dyDescent="0.25">
      <c r="A80" s="7" t="s">
        <v>231</v>
      </c>
      <c r="B80" s="7" t="s">
        <v>239</v>
      </c>
      <c r="C80" s="7" t="s">
        <v>214</v>
      </c>
      <c r="D80" s="7" t="s">
        <v>63</v>
      </c>
      <c r="E80" s="7" t="s">
        <v>108</v>
      </c>
      <c r="F80" s="7" t="s">
        <v>240</v>
      </c>
      <c r="G80" s="7" t="s">
        <v>63</v>
      </c>
      <c r="H80" s="7">
        <v>2</v>
      </c>
      <c r="I80" s="7">
        <v>3</v>
      </c>
      <c r="J80" s="7" t="s">
        <v>218</v>
      </c>
      <c r="K80" s="4" t="s">
        <v>43</v>
      </c>
      <c r="L80" s="7" t="s">
        <v>56</v>
      </c>
      <c r="M80" s="7" t="s">
        <v>26</v>
      </c>
      <c r="N80" s="7" t="s">
        <v>25</v>
      </c>
      <c r="O80" s="7" t="s">
        <v>87</v>
      </c>
    </row>
    <row r="81" spans="1:15" x14ac:dyDescent="0.25">
      <c r="A81" s="7" t="s">
        <v>231</v>
      </c>
      <c r="B81" s="7" t="s">
        <v>239</v>
      </c>
      <c r="C81" s="7" t="s">
        <v>214</v>
      </c>
      <c r="D81" s="7" t="s">
        <v>63</v>
      </c>
      <c r="E81" s="7" t="s">
        <v>108</v>
      </c>
      <c r="F81" s="7" t="s">
        <v>241</v>
      </c>
      <c r="G81" s="7" t="s">
        <v>108</v>
      </c>
      <c r="H81" s="7">
        <v>0</v>
      </c>
      <c r="I81" s="7">
        <v>3</v>
      </c>
      <c r="J81" s="7" t="s">
        <v>143</v>
      </c>
      <c r="K81" s="7" t="s">
        <v>26</v>
      </c>
      <c r="L81" s="7" t="s">
        <v>55</v>
      </c>
      <c r="M81" s="7" t="s">
        <v>142</v>
      </c>
      <c r="N81" s="7" t="s">
        <v>226</v>
      </c>
      <c r="O81" s="7" t="s">
        <v>56</v>
      </c>
    </row>
    <row r="82" spans="1:15" x14ac:dyDescent="0.25">
      <c r="A82" s="7" t="s">
        <v>231</v>
      </c>
      <c r="B82" s="7" t="s">
        <v>83</v>
      </c>
      <c r="C82" s="7" t="s">
        <v>167</v>
      </c>
      <c r="D82" s="7" t="s">
        <v>163</v>
      </c>
      <c r="E82" s="7" t="s">
        <v>19</v>
      </c>
      <c r="F82" s="7" t="s">
        <v>242</v>
      </c>
      <c r="G82" s="7" t="s">
        <v>163</v>
      </c>
      <c r="H82" s="7">
        <v>2</v>
      </c>
      <c r="I82" s="7">
        <v>3</v>
      </c>
      <c r="J82" s="7" t="s">
        <v>26</v>
      </c>
      <c r="K82" s="7" t="s">
        <v>55</v>
      </c>
      <c r="L82" s="7" t="s">
        <v>56</v>
      </c>
      <c r="M82" s="7" t="s">
        <v>57</v>
      </c>
      <c r="N82" s="7" t="s">
        <v>40</v>
      </c>
      <c r="O82" s="7" t="s">
        <v>54</v>
      </c>
    </row>
    <row r="83" spans="1:15" x14ac:dyDescent="0.25">
      <c r="A83" s="7" t="s">
        <v>231</v>
      </c>
      <c r="B83" s="7" t="s">
        <v>83</v>
      </c>
      <c r="C83" s="7" t="s">
        <v>167</v>
      </c>
      <c r="D83" s="7" t="s">
        <v>163</v>
      </c>
      <c r="E83" s="7" t="s">
        <v>19</v>
      </c>
      <c r="F83" s="7" t="s">
        <v>243</v>
      </c>
      <c r="G83" s="7" t="s">
        <v>19</v>
      </c>
      <c r="H83" s="7">
        <v>1</v>
      </c>
      <c r="I83" s="7">
        <v>3</v>
      </c>
      <c r="J83" s="7" t="s">
        <v>223</v>
      </c>
      <c r="K83" s="7" t="s">
        <v>182</v>
      </c>
      <c r="L83" s="7" t="s">
        <v>26</v>
      </c>
      <c r="M83" s="7" t="s">
        <v>32</v>
      </c>
      <c r="N83" s="7" t="s">
        <v>87</v>
      </c>
      <c r="O83" s="7" t="s">
        <v>57</v>
      </c>
    </row>
    <row r="84" spans="1:15" x14ac:dyDescent="0.25">
      <c r="A84" s="7" t="s">
        <v>231</v>
      </c>
      <c r="B84" s="7" t="s">
        <v>244</v>
      </c>
      <c r="C84" s="7" t="s">
        <v>172</v>
      </c>
      <c r="D84" s="7" t="s">
        <v>63</v>
      </c>
      <c r="E84" s="7" t="s">
        <v>108</v>
      </c>
      <c r="F84" s="7" t="s">
        <v>245</v>
      </c>
      <c r="G84" s="7" t="s">
        <v>63</v>
      </c>
      <c r="H84" s="7">
        <v>2</v>
      </c>
      <c r="I84" s="7">
        <v>3</v>
      </c>
      <c r="J84" s="7" t="s">
        <v>59</v>
      </c>
      <c r="K84" s="7" t="s">
        <v>26</v>
      </c>
      <c r="L84" s="7" t="s">
        <v>23</v>
      </c>
      <c r="M84" s="7" t="s">
        <v>104</v>
      </c>
      <c r="N84" s="7" t="s">
        <v>25</v>
      </c>
      <c r="O84" s="7" t="s">
        <v>155</v>
      </c>
    </row>
    <row r="85" spans="1:15" x14ac:dyDescent="0.25">
      <c r="A85" s="7" t="s">
        <v>231</v>
      </c>
      <c r="B85" s="7" t="s">
        <v>244</v>
      </c>
      <c r="C85" s="7" t="s">
        <v>172</v>
      </c>
      <c r="D85" s="7" t="s">
        <v>63</v>
      </c>
      <c r="E85" s="7" t="s">
        <v>108</v>
      </c>
      <c r="F85" s="7" t="s">
        <v>246</v>
      </c>
      <c r="G85" s="7" t="s">
        <v>108</v>
      </c>
      <c r="H85" s="7">
        <v>1</v>
      </c>
      <c r="I85" s="7">
        <v>3</v>
      </c>
      <c r="J85" s="7" t="s">
        <v>247</v>
      </c>
      <c r="K85" s="7" t="s">
        <v>69</v>
      </c>
      <c r="L85" s="7" t="s">
        <v>196</v>
      </c>
      <c r="M85" s="7" t="s">
        <v>25</v>
      </c>
      <c r="N85" s="7" t="s">
        <v>65</v>
      </c>
      <c r="O85" s="7" t="s">
        <v>23</v>
      </c>
    </row>
    <row r="86" spans="1:15" x14ac:dyDescent="0.25">
      <c r="A86" s="7" t="s">
        <v>231</v>
      </c>
      <c r="B86" s="7" t="s">
        <v>248</v>
      </c>
      <c r="C86" s="7" t="s">
        <v>249</v>
      </c>
      <c r="D86" s="7" t="s">
        <v>51</v>
      </c>
      <c r="E86" s="7" t="s">
        <v>133</v>
      </c>
      <c r="F86" s="7" t="s">
        <v>250</v>
      </c>
      <c r="G86" s="7" t="s">
        <v>51</v>
      </c>
      <c r="H86" s="7">
        <v>2</v>
      </c>
      <c r="I86" s="7">
        <v>3</v>
      </c>
      <c r="J86" s="7" t="s">
        <v>59</v>
      </c>
      <c r="K86" s="7" t="s">
        <v>181</v>
      </c>
      <c r="L86" s="7" t="s">
        <v>23</v>
      </c>
      <c r="M86" s="7" t="s">
        <v>180</v>
      </c>
      <c r="N86" s="7" t="s">
        <v>25</v>
      </c>
      <c r="O86" s="7" t="s">
        <v>26</v>
      </c>
    </row>
    <row r="87" spans="1:15" x14ac:dyDescent="0.25">
      <c r="A87" s="7" t="s">
        <v>231</v>
      </c>
      <c r="B87" s="7" t="s">
        <v>248</v>
      </c>
      <c r="C87" s="7" t="s">
        <v>249</v>
      </c>
      <c r="D87" s="7" t="s">
        <v>51</v>
      </c>
      <c r="E87" s="7" t="s">
        <v>133</v>
      </c>
      <c r="F87" s="7" t="s">
        <v>251</v>
      </c>
      <c r="G87" s="7" t="s">
        <v>133</v>
      </c>
      <c r="H87" s="7">
        <v>0</v>
      </c>
      <c r="I87" s="7">
        <v>3</v>
      </c>
      <c r="J87" s="7" t="s">
        <v>87</v>
      </c>
      <c r="K87" s="7" t="s">
        <v>252</v>
      </c>
      <c r="L87" s="7" t="s">
        <v>151</v>
      </c>
      <c r="M87" s="4" t="s">
        <v>43</v>
      </c>
      <c r="N87" s="7" t="s">
        <v>268</v>
      </c>
      <c r="O87" s="7" t="s">
        <v>254</v>
      </c>
    </row>
    <row r="88" spans="1:15" x14ac:dyDescent="0.25">
      <c r="A88" s="7" t="s">
        <v>231</v>
      </c>
      <c r="B88" s="7" t="s">
        <v>255</v>
      </c>
      <c r="C88" s="7" t="s">
        <v>256</v>
      </c>
      <c r="D88" s="7" t="s">
        <v>51</v>
      </c>
      <c r="E88" s="7" t="s">
        <v>133</v>
      </c>
      <c r="F88" s="7" t="s">
        <v>257</v>
      </c>
      <c r="G88" s="7" t="s">
        <v>51</v>
      </c>
      <c r="H88" s="7">
        <v>2</v>
      </c>
      <c r="I88" s="7">
        <v>3</v>
      </c>
      <c r="J88" s="7" t="s">
        <v>32</v>
      </c>
      <c r="K88" s="7" t="s">
        <v>182</v>
      </c>
      <c r="L88" s="7" t="s">
        <v>67</v>
      </c>
      <c r="M88" s="7" t="s">
        <v>206</v>
      </c>
      <c r="N88" s="7" t="s">
        <v>69</v>
      </c>
      <c r="O88" s="7" t="s">
        <v>25</v>
      </c>
    </row>
    <row r="89" spans="1:15" x14ac:dyDescent="0.25">
      <c r="A89" s="7" t="s">
        <v>231</v>
      </c>
      <c r="B89" s="7" t="s">
        <v>255</v>
      </c>
      <c r="C89" s="7" t="s">
        <v>256</v>
      </c>
      <c r="D89" s="7" t="s">
        <v>51</v>
      </c>
      <c r="E89" s="7" t="s">
        <v>133</v>
      </c>
      <c r="F89" s="7" t="s">
        <v>258</v>
      </c>
      <c r="G89" s="7" t="s">
        <v>133</v>
      </c>
      <c r="H89" s="7">
        <v>1</v>
      </c>
      <c r="I89" s="7">
        <v>3</v>
      </c>
      <c r="J89" s="7" t="s">
        <v>56</v>
      </c>
      <c r="K89" s="7" t="s">
        <v>259</v>
      </c>
      <c r="L89" s="7" t="s">
        <v>55</v>
      </c>
      <c r="M89" s="7" t="s">
        <v>25</v>
      </c>
      <c r="N89" s="7" t="s">
        <v>26</v>
      </c>
      <c r="O89" s="7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8"/>
  <sheetViews>
    <sheetView topLeftCell="A22" zoomScaleNormal="100" workbookViewId="0">
      <selection activeCell="E9" sqref="E9"/>
    </sheetView>
  </sheetViews>
  <sheetFormatPr baseColWidth="10" defaultColWidth="9.140625" defaultRowHeight="15" x14ac:dyDescent="0.25"/>
  <cols>
    <col min="1" max="1" width="25" customWidth="1"/>
    <col min="2" max="2" width="15" customWidth="1"/>
  </cols>
  <sheetData>
    <row r="1" spans="1:2" x14ac:dyDescent="0.25">
      <c r="A1" s="8" t="s">
        <v>260</v>
      </c>
      <c r="B1" s="8" t="s">
        <v>261</v>
      </c>
    </row>
    <row r="2" spans="1:2" x14ac:dyDescent="0.25">
      <c r="A2" t="s">
        <v>26</v>
      </c>
      <c r="B2">
        <v>54</v>
      </c>
    </row>
    <row r="3" spans="1:2" x14ac:dyDescent="0.25">
      <c r="A3" t="s">
        <v>23</v>
      </c>
      <c r="B3">
        <v>48</v>
      </c>
    </row>
    <row r="4" spans="1:2" x14ac:dyDescent="0.25">
      <c r="A4" t="s">
        <v>32</v>
      </c>
      <c r="B4">
        <v>36</v>
      </c>
    </row>
    <row r="5" spans="1:2" x14ac:dyDescent="0.25">
      <c r="A5" t="s">
        <v>25</v>
      </c>
      <c r="B5">
        <v>32</v>
      </c>
    </row>
    <row r="6" spans="1:2" x14ac:dyDescent="0.25">
      <c r="A6" t="s">
        <v>69</v>
      </c>
      <c r="B6">
        <v>27</v>
      </c>
    </row>
    <row r="7" spans="1:2" x14ac:dyDescent="0.25">
      <c r="A7" t="s">
        <v>21</v>
      </c>
      <c r="B7">
        <v>17</v>
      </c>
    </row>
    <row r="8" spans="1:2" x14ac:dyDescent="0.25">
      <c r="A8" t="s">
        <v>40</v>
      </c>
      <c r="B8">
        <v>14</v>
      </c>
    </row>
    <row r="9" spans="1:2" x14ac:dyDescent="0.25">
      <c r="A9" t="s">
        <v>43</v>
      </c>
      <c r="B9">
        <v>14</v>
      </c>
    </row>
    <row r="10" spans="1:2" x14ac:dyDescent="0.25">
      <c r="A10" t="s">
        <v>38</v>
      </c>
      <c r="B10">
        <v>13</v>
      </c>
    </row>
    <row r="11" spans="1:2" x14ac:dyDescent="0.25">
      <c r="A11" t="s">
        <v>56</v>
      </c>
      <c r="B11">
        <v>12</v>
      </c>
    </row>
    <row r="12" spans="1:2" x14ac:dyDescent="0.25">
      <c r="A12" t="s">
        <v>42</v>
      </c>
      <c r="B12">
        <v>11</v>
      </c>
    </row>
    <row r="13" spans="1:2" x14ac:dyDescent="0.25">
      <c r="A13" t="s">
        <v>39</v>
      </c>
      <c r="B13">
        <v>10</v>
      </c>
    </row>
    <row r="14" spans="1:2" x14ac:dyDescent="0.25">
      <c r="A14" t="s">
        <v>87</v>
      </c>
      <c r="B14">
        <v>10</v>
      </c>
    </row>
    <row r="15" spans="1:2" x14ac:dyDescent="0.25">
      <c r="A15" t="s">
        <v>182</v>
      </c>
      <c r="B15">
        <v>10</v>
      </c>
    </row>
    <row r="16" spans="1:2" x14ac:dyDescent="0.25">
      <c r="A16" t="s">
        <v>55</v>
      </c>
      <c r="B16">
        <v>8</v>
      </c>
    </row>
    <row r="17" spans="1:2" x14ac:dyDescent="0.25">
      <c r="A17" t="s">
        <v>65</v>
      </c>
      <c r="B17">
        <v>8</v>
      </c>
    </row>
    <row r="18" spans="1:2" x14ac:dyDescent="0.25">
      <c r="A18" t="s">
        <v>59</v>
      </c>
      <c r="B18">
        <v>7</v>
      </c>
    </row>
    <row r="19" spans="1:2" x14ac:dyDescent="0.25">
      <c r="A19" t="s">
        <v>29</v>
      </c>
      <c r="B19">
        <v>6</v>
      </c>
    </row>
    <row r="20" spans="1:2" x14ac:dyDescent="0.25">
      <c r="A20" t="s">
        <v>67</v>
      </c>
      <c r="B20">
        <v>6</v>
      </c>
    </row>
    <row r="21" spans="1:2" x14ac:dyDescent="0.25">
      <c r="A21" t="s">
        <v>169</v>
      </c>
      <c r="B21">
        <v>6</v>
      </c>
    </row>
    <row r="22" spans="1:2" x14ac:dyDescent="0.25">
      <c r="A22" t="s">
        <v>173</v>
      </c>
      <c r="B22">
        <v>6</v>
      </c>
    </row>
    <row r="23" spans="1:2" x14ac:dyDescent="0.25">
      <c r="A23" t="s">
        <v>24</v>
      </c>
      <c r="B23">
        <v>5</v>
      </c>
    </row>
    <row r="24" spans="1:2" x14ac:dyDescent="0.25">
      <c r="A24" t="s">
        <v>37</v>
      </c>
      <c r="B24">
        <v>5</v>
      </c>
    </row>
    <row r="25" spans="1:2" x14ac:dyDescent="0.25">
      <c r="A25" t="s">
        <v>73</v>
      </c>
      <c r="B25">
        <v>5</v>
      </c>
    </row>
    <row r="26" spans="1:2" x14ac:dyDescent="0.25">
      <c r="A26" t="s">
        <v>22</v>
      </c>
      <c r="B26">
        <v>4</v>
      </c>
    </row>
    <row r="27" spans="1:2" x14ac:dyDescent="0.25">
      <c r="A27" t="s">
        <v>57</v>
      </c>
      <c r="B27">
        <v>4</v>
      </c>
    </row>
    <row r="28" spans="1:2" x14ac:dyDescent="0.25">
      <c r="A28" t="s">
        <v>97</v>
      </c>
      <c r="B28">
        <v>4</v>
      </c>
    </row>
    <row r="29" spans="1:2" x14ac:dyDescent="0.25">
      <c r="A29" t="s">
        <v>138</v>
      </c>
      <c r="B29">
        <v>4</v>
      </c>
    </row>
    <row r="30" spans="1:2" x14ac:dyDescent="0.25">
      <c r="A30" t="s">
        <v>180</v>
      </c>
      <c r="B30">
        <v>4</v>
      </c>
    </row>
    <row r="31" spans="1:2" x14ac:dyDescent="0.25">
      <c r="A31" t="s">
        <v>185</v>
      </c>
      <c r="B31">
        <v>4</v>
      </c>
    </row>
    <row r="32" spans="1:2" x14ac:dyDescent="0.25">
      <c r="A32" t="s">
        <v>191</v>
      </c>
      <c r="B32">
        <v>4</v>
      </c>
    </row>
    <row r="33" spans="1:2" x14ac:dyDescent="0.25">
      <c r="A33" t="s">
        <v>30</v>
      </c>
      <c r="B33">
        <v>3</v>
      </c>
    </row>
    <row r="34" spans="1:2" x14ac:dyDescent="0.25">
      <c r="A34" t="s">
        <v>31</v>
      </c>
      <c r="B34">
        <v>3</v>
      </c>
    </row>
    <row r="35" spans="1:2" x14ac:dyDescent="0.25">
      <c r="A35" t="s">
        <v>33</v>
      </c>
      <c r="B35">
        <v>3</v>
      </c>
    </row>
    <row r="36" spans="1:2" x14ac:dyDescent="0.25">
      <c r="A36" t="s">
        <v>54</v>
      </c>
      <c r="B36">
        <v>3</v>
      </c>
    </row>
    <row r="37" spans="1:2" x14ac:dyDescent="0.25">
      <c r="A37" t="s">
        <v>74</v>
      </c>
      <c r="B37">
        <v>3</v>
      </c>
    </row>
    <row r="38" spans="1:2" x14ac:dyDescent="0.25">
      <c r="A38" t="s">
        <v>99</v>
      </c>
      <c r="B38">
        <v>3</v>
      </c>
    </row>
    <row r="39" spans="1:2" x14ac:dyDescent="0.25">
      <c r="A39" t="s">
        <v>149</v>
      </c>
      <c r="B39">
        <v>3</v>
      </c>
    </row>
    <row r="40" spans="1:2" x14ac:dyDescent="0.25">
      <c r="A40" t="s">
        <v>151</v>
      </c>
      <c r="B40">
        <v>3</v>
      </c>
    </row>
    <row r="41" spans="1:2" x14ac:dyDescent="0.25">
      <c r="A41" t="s">
        <v>181</v>
      </c>
      <c r="B41">
        <v>3</v>
      </c>
    </row>
    <row r="42" spans="1:2" x14ac:dyDescent="0.25">
      <c r="A42" t="s">
        <v>196</v>
      </c>
      <c r="B42">
        <v>3</v>
      </c>
    </row>
    <row r="43" spans="1:2" x14ac:dyDescent="0.25">
      <c r="A43" t="s">
        <v>230</v>
      </c>
      <c r="B43">
        <v>3</v>
      </c>
    </row>
    <row r="44" spans="1:2" x14ac:dyDescent="0.25">
      <c r="A44" t="s">
        <v>77</v>
      </c>
      <c r="B44">
        <v>2</v>
      </c>
    </row>
    <row r="45" spans="1:2" x14ac:dyDescent="0.25">
      <c r="A45" t="s">
        <v>104</v>
      </c>
      <c r="B45">
        <v>2</v>
      </c>
    </row>
    <row r="46" spans="1:2" x14ac:dyDescent="0.25">
      <c r="A46" t="s">
        <v>127</v>
      </c>
      <c r="B46">
        <v>2</v>
      </c>
    </row>
    <row r="47" spans="1:2" x14ac:dyDescent="0.25">
      <c r="A47" t="s">
        <v>142</v>
      </c>
      <c r="B47">
        <v>2</v>
      </c>
    </row>
    <row r="48" spans="1:2" x14ac:dyDescent="0.25">
      <c r="A48" t="s">
        <v>143</v>
      </c>
      <c r="B48">
        <v>2</v>
      </c>
    </row>
    <row r="49" spans="1:2" x14ac:dyDescent="0.25">
      <c r="A49" t="s">
        <v>155</v>
      </c>
      <c r="B49">
        <v>2</v>
      </c>
    </row>
    <row r="50" spans="1:2" x14ac:dyDescent="0.25">
      <c r="A50" t="s">
        <v>174</v>
      </c>
      <c r="B50">
        <v>2</v>
      </c>
    </row>
    <row r="51" spans="1:2" x14ac:dyDescent="0.25">
      <c r="A51" t="s">
        <v>177</v>
      </c>
      <c r="B51">
        <v>2</v>
      </c>
    </row>
    <row r="52" spans="1:2" x14ac:dyDescent="0.25">
      <c r="A52" t="s">
        <v>195</v>
      </c>
      <c r="B52">
        <v>2</v>
      </c>
    </row>
    <row r="53" spans="1:2" x14ac:dyDescent="0.25">
      <c r="A53" t="s">
        <v>197</v>
      </c>
      <c r="B53">
        <v>2</v>
      </c>
    </row>
    <row r="54" spans="1:2" x14ac:dyDescent="0.25">
      <c r="A54" t="s">
        <v>199</v>
      </c>
      <c r="B54">
        <v>2</v>
      </c>
    </row>
    <row r="55" spans="1:2" x14ac:dyDescent="0.25">
      <c r="A55" t="s">
        <v>206</v>
      </c>
      <c r="B55">
        <v>2</v>
      </c>
    </row>
    <row r="56" spans="1:2" x14ac:dyDescent="0.25">
      <c r="A56" t="s">
        <v>216</v>
      </c>
      <c r="B56">
        <v>2</v>
      </c>
    </row>
    <row r="57" spans="1:2" x14ac:dyDescent="0.25">
      <c r="A57" t="s">
        <v>218</v>
      </c>
      <c r="B57">
        <v>2</v>
      </c>
    </row>
    <row r="58" spans="1:2" x14ac:dyDescent="0.25">
      <c r="A58" t="s">
        <v>223</v>
      </c>
      <c r="B58">
        <v>2</v>
      </c>
    </row>
    <row r="59" spans="1:2" x14ac:dyDescent="0.25">
      <c r="A59" t="s">
        <v>226</v>
      </c>
      <c r="B59">
        <v>2</v>
      </c>
    </row>
    <row r="60" spans="1:2" x14ac:dyDescent="0.25">
      <c r="A60" t="s">
        <v>28</v>
      </c>
      <c r="B60">
        <v>1</v>
      </c>
    </row>
    <row r="61" spans="1:2" x14ac:dyDescent="0.25">
      <c r="A61" t="s">
        <v>68</v>
      </c>
      <c r="B61">
        <v>1</v>
      </c>
    </row>
    <row r="62" spans="1:2" x14ac:dyDescent="0.25">
      <c r="A62" t="s">
        <v>76</v>
      </c>
      <c r="B62">
        <v>1</v>
      </c>
    </row>
    <row r="63" spans="1:2" x14ac:dyDescent="0.25">
      <c r="A63" t="s">
        <v>98</v>
      </c>
      <c r="B63">
        <v>1</v>
      </c>
    </row>
    <row r="64" spans="1:2" x14ac:dyDescent="0.25">
      <c r="A64" t="s">
        <v>114</v>
      </c>
      <c r="B64">
        <v>1</v>
      </c>
    </row>
    <row r="65" spans="1:2" x14ac:dyDescent="0.25">
      <c r="A65" t="s">
        <v>126</v>
      </c>
      <c r="B65">
        <v>1</v>
      </c>
    </row>
    <row r="66" spans="1:2" x14ac:dyDescent="0.25">
      <c r="A66" t="s">
        <v>128</v>
      </c>
      <c r="B66">
        <v>1</v>
      </c>
    </row>
    <row r="67" spans="1:2" x14ac:dyDescent="0.25">
      <c r="A67" t="s">
        <v>141</v>
      </c>
      <c r="B67">
        <v>1</v>
      </c>
    </row>
    <row r="68" spans="1:2" x14ac:dyDescent="0.25">
      <c r="A68" t="s">
        <v>152</v>
      </c>
      <c r="B68">
        <v>1</v>
      </c>
    </row>
    <row r="69" spans="1:2" x14ac:dyDescent="0.25">
      <c r="A69" t="s">
        <v>154</v>
      </c>
      <c r="B69">
        <v>1</v>
      </c>
    </row>
    <row r="70" spans="1:2" x14ac:dyDescent="0.25">
      <c r="A70" t="s">
        <v>160</v>
      </c>
      <c r="B70">
        <v>1</v>
      </c>
    </row>
    <row r="71" spans="1:2" x14ac:dyDescent="0.25">
      <c r="A71" t="s">
        <v>165</v>
      </c>
      <c r="B71">
        <v>1</v>
      </c>
    </row>
    <row r="72" spans="1:2" x14ac:dyDescent="0.25">
      <c r="A72" t="s">
        <v>170</v>
      </c>
      <c r="B72">
        <v>1</v>
      </c>
    </row>
    <row r="73" spans="1:2" x14ac:dyDescent="0.25">
      <c r="A73" t="s">
        <v>176</v>
      </c>
      <c r="B73">
        <v>1</v>
      </c>
    </row>
    <row r="74" spans="1:2" x14ac:dyDescent="0.25">
      <c r="A74" t="s">
        <v>186</v>
      </c>
      <c r="B74">
        <v>1</v>
      </c>
    </row>
    <row r="75" spans="1:2" x14ac:dyDescent="0.25">
      <c r="A75" t="s">
        <v>190</v>
      </c>
      <c r="B75">
        <v>1</v>
      </c>
    </row>
    <row r="76" spans="1:2" x14ac:dyDescent="0.25">
      <c r="A76" t="s">
        <v>198</v>
      </c>
      <c r="B76">
        <v>1</v>
      </c>
    </row>
    <row r="77" spans="1:2" x14ac:dyDescent="0.25">
      <c r="A77" t="s">
        <v>211</v>
      </c>
      <c r="B77">
        <v>1</v>
      </c>
    </row>
    <row r="78" spans="1:2" x14ac:dyDescent="0.25">
      <c r="A78" t="s">
        <v>219</v>
      </c>
      <c r="B78">
        <v>1</v>
      </c>
    </row>
    <row r="79" spans="1:2" x14ac:dyDescent="0.25">
      <c r="A79" t="s">
        <v>227</v>
      </c>
      <c r="B79">
        <v>1</v>
      </c>
    </row>
    <row r="80" spans="1:2" x14ac:dyDescent="0.25">
      <c r="A80" t="s">
        <v>229</v>
      </c>
      <c r="B80">
        <v>1</v>
      </c>
    </row>
    <row r="81" spans="1:2" x14ac:dyDescent="0.25">
      <c r="A81" t="s">
        <v>235</v>
      </c>
      <c r="B81">
        <v>1</v>
      </c>
    </row>
    <row r="82" spans="1:2" x14ac:dyDescent="0.25">
      <c r="A82" t="s">
        <v>236</v>
      </c>
      <c r="B82">
        <v>1</v>
      </c>
    </row>
    <row r="83" spans="1:2" x14ac:dyDescent="0.25">
      <c r="A83" t="s">
        <v>237</v>
      </c>
      <c r="B83">
        <v>1</v>
      </c>
    </row>
    <row r="84" spans="1:2" x14ac:dyDescent="0.25">
      <c r="A84" t="s">
        <v>247</v>
      </c>
      <c r="B84">
        <v>1</v>
      </c>
    </row>
    <row r="85" spans="1:2" x14ac:dyDescent="0.25">
      <c r="A85" t="s">
        <v>252</v>
      </c>
      <c r="B85">
        <v>1</v>
      </c>
    </row>
    <row r="86" spans="1:2" x14ac:dyDescent="0.25">
      <c r="A86" t="s">
        <v>253</v>
      </c>
      <c r="B86">
        <v>1</v>
      </c>
    </row>
    <row r="87" spans="1:2" x14ac:dyDescent="0.25">
      <c r="A87" t="s">
        <v>254</v>
      </c>
      <c r="B87">
        <v>1</v>
      </c>
    </row>
    <row r="88" spans="1:2" x14ac:dyDescent="0.25">
      <c r="A88" t="s">
        <v>259</v>
      </c>
      <c r="B88">
        <v>1</v>
      </c>
    </row>
  </sheetData>
  <autoFilter ref="A1:B6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55"/>
  <sheetViews>
    <sheetView topLeftCell="A20" zoomScaleNormal="100" workbookViewId="0">
      <selection activeCell="A4" sqref="A4"/>
    </sheetView>
  </sheetViews>
  <sheetFormatPr baseColWidth="10" defaultColWidth="10.7109375" defaultRowHeight="15" x14ac:dyDescent="0.25"/>
  <cols>
    <col min="1" max="1" width="24.140625" customWidth="1"/>
    <col min="2" max="2" width="19" customWidth="1"/>
  </cols>
  <sheetData>
    <row r="3" spans="1:2" x14ac:dyDescent="0.25">
      <c r="A3" s="9" t="s">
        <v>262</v>
      </c>
      <c r="B3" s="10" t="s">
        <v>263</v>
      </c>
    </row>
    <row r="4" spans="1:2" x14ac:dyDescent="0.25">
      <c r="A4" s="11" t="s">
        <v>98</v>
      </c>
      <c r="B4" s="12">
        <v>1</v>
      </c>
    </row>
    <row r="5" spans="1:2" x14ac:dyDescent="0.25">
      <c r="A5" s="13" t="s">
        <v>21</v>
      </c>
      <c r="B5" s="14">
        <v>10</v>
      </c>
    </row>
    <row r="6" spans="1:2" x14ac:dyDescent="0.25">
      <c r="A6" s="13" t="s">
        <v>59</v>
      </c>
      <c r="B6" s="14">
        <v>3</v>
      </c>
    </row>
    <row r="7" spans="1:2" x14ac:dyDescent="0.25">
      <c r="A7" s="13" t="s">
        <v>28</v>
      </c>
      <c r="B7" s="14">
        <v>1</v>
      </c>
    </row>
    <row r="8" spans="1:2" x14ac:dyDescent="0.25">
      <c r="A8" s="13" t="s">
        <v>55</v>
      </c>
      <c r="B8" s="14">
        <v>4</v>
      </c>
    </row>
    <row r="9" spans="1:2" x14ac:dyDescent="0.25">
      <c r="A9" s="13" t="s">
        <v>160</v>
      </c>
      <c r="B9" s="14">
        <v>1</v>
      </c>
    </row>
    <row r="10" spans="1:2" x14ac:dyDescent="0.25">
      <c r="A10" s="13" t="s">
        <v>26</v>
      </c>
      <c r="B10" s="14">
        <v>27</v>
      </c>
    </row>
    <row r="11" spans="1:2" x14ac:dyDescent="0.25">
      <c r="A11" s="13" t="s">
        <v>141</v>
      </c>
      <c r="B11" s="14">
        <v>1</v>
      </c>
    </row>
    <row r="12" spans="1:2" x14ac:dyDescent="0.25">
      <c r="A12" s="13" t="s">
        <v>126</v>
      </c>
      <c r="B12" s="14">
        <v>1</v>
      </c>
    </row>
    <row r="13" spans="1:2" x14ac:dyDescent="0.25">
      <c r="A13" s="13" t="s">
        <v>42</v>
      </c>
      <c r="B13" s="14">
        <v>11</v>
      </c>
    </row>
    <row r="14" spans="1:2" x14ac:dyDescent="0.25">
      <c r="A14" s="13" t="s">
        <v>33</v>
      </c>
      <c r="B14" s="14">
        <v>2</v>
      </c>
    </row>
    <row r="15" spans="1:2" x14ac:dyDescent="0.25">
      <c r="A15" s="13" t="s">
        <v>65</v>
      </c>
      <c r="B15" s="14">
        <v>5</v>
      </c>
    </row>
    <row r="16" spans="1:2" x14ac:dyDescent="0.25">
      <c r="A16" s="13" t="s">
        <v>76</v>
      </c>
      <c r="B16" s="14">
        <v>1</v>
      </c>
    </row>
    <row r="17" spans="1:2" x14ac:dyDescent="0.25">
      <c r="A17" s="13" t="s">
        <v>138</v>
      </c>
      <c r="B17" s="14">
        <v>3</v>
      </c>
    </row>
    <row r="18" spans="1:2" x14ac:dyDescent="0.25">
      <c r="A18" s="13" t="s">
        <v>38</v>
      </c>
      <c r="B18" s="14">
        <v>7</v>
      </c>
    </row>
    <row r="19" spans="1:2" x14ac:dyDescent="0.25">
      <c r="A19" s="13" t="s">
        <v>43</v>
      </c>
      <c r="B19" s="14">
        <v>9</v>
      </c>
    </row>
    <row r="20" spans="1:2" x14ac:dyDescent="0.25">
      <c r="A20" s="13" t="s">
        <v>104</v>
      </c>
      <c r="B20" s="14">
        <v>1</v>
      </c>
    </row>
    <row r="21" spans="1:2" x14ac:dyDescent="0.25">
      <c r="A21" s="13" t="s">
        <v>32</v>
      </c>
      <c r="B21" s="14">
        <v>15</v>
      </c>
    </row>
    <row r="22" spans="1:2" x14ac:dyDescent="0.25">
      <c r="A22" s="13" t="s">
        <v>152</v>
      </c>
      <c r="B22" s="14">
        <v>1</v>
      </c>
    </row>
    <row r="23" spans="1:2" x14ac:dyDescent="0.25">
      <c r="A23" s="13" t="s">
        <v>29</v>
      </c>
      <c r="B23" s="14">
        <v>4</v>
      </c>
    </row>
    <row r="24" spans="1:2" x14ac:dyDescent="0.25">
      <c r="A24" s="13" t="s">
        <v>97</v>
      </c>
      <c r="B24" s="14">
        <v>4</v>
      </c>
    </row>
    <row r="25" spans="1:2" x14ac:dyDescent="0.25">
      <c r="A25" s="13" t="s">
        <v>77</v>
      </c>
      <c r="B25" s="14">
        <v>2</v>
      </c>
    </row>
    <row r="26" spans="1:2" x14ac:dyDescent="0.25">
      <c r="A26" s="13" t="s">
        <v>155</v>
      </c>
      <c r="B26" s="14">
        <v>1</v>
      </c>
    </row>
    <row r="27" spans="1:2" x14ac:dyDescent="0.25">
      <c r="A27" s="13" t="s">
        <v>69</v>
      </c>
      <c r="B27" s="14">
        <v>13</v>
      </c>
    </row>
    <row r="28" spans="1:2" x14ac:dyDescent="0.25">
      <c r="A28" s="13" t="s">
        <v>37</v>
      </c>
      <c r="B28" s="14">
        <v>4</v>
      </c>
    </row>
    <row r="29" spans="1:2" x14ac:dyDescent="0.25">
      <c r="A29" s="13" t="s">
        <v>23</v>
      </c>
      <c r="B29" s="14">
        <v>23</v>
      </c>
    </row>
    <row r="30" spans="1:2" x14ac:dyDescent="0.25">
      <c r="A30" s="13" t="s">
        <v>74</v>
      </c>
      <c r="B30" s="14">
        <v>3</v>
      </c>
    </row>
    <row r="31" spans="1:2" x14ac:dyDescent="0.25">
      <c r="A31" s="13" t="s">
        <v>128</v>
      </c>
      <c r="B31" s="14">
        <v>1</v>
      </c>
    </row>
    <row r="32" spans="1:2" x14ac:dyDescent="0.25">
      <c r="A32" s="13" t="s">
        <v>99</v>
      </c>
      <c r="B32" s="14">
        <v>3</v>
      </c>
    </row>
    <row r="33" spans="1:2" x14ac:dyDescent="0.25">
      <c r="A33" s="13" t="s">
        <v>154</v>
      </c>
      <c r="B33" s="14">
        <v>1</v>
      </c>
    </row>
    <row r="34" spans="1:2" x14ac:dyDescent="0.25">
      <c r="A34" s="13" t="s">
        <v>56</v>
      </c>
      <c r="B34" s="14">
        <v>6</v>
      </c>
    </row>
    <row r="35" spans="1:2" x14ac:dyDescent="0.25">
      <c r="A35" s="13" t="s">
        <v>142</v>
      </c>
      <c r="B35" s="14">
        <v>1</v>
      </c>
    </row>
    <row r="36" spans="1:2" x14ac:dyDescent="0.25">
      <c r="A36" s="13" t="s">
        <v>31</v>
      </c>
      <c r="B36" s="14">
        <v>3</v>
      </c>
    </row>
    <row r="37" spans="1:2" x14ac:dyDescent="0.25">
      <c r="A37" s="13" t="s">
        <v>57</v>
      </c>
      <c r="B37" s="14">
        <v>1</v>
      </c>
    </row>
    <row r="38" spans="1:2" x14ac:dyDescent="0.25">
      <c r="A38" s="13" t="s">
        <v>68</v>
      </c>
      <c r="B38" s="14">
        <v>1</v>
      </c>
    </row>
    <row r="39" spans="1:2" x14ac:dyDescent="0.25">
      <c r="A39" s="13" t="s">
        <v>24</v>
      </c>
      <c r="B39" s="14">
        <v>5</v>
      </c>
    </row>
    <row r="40" spans="1:2" x14ac:dyDescent="0.25">
      <c r="A40" s="13" t="s">
        <v>127</v>
      </c>
      <c r="B40" s="14">
        <v>2</v>
      </c>
    </row>
    <row r="41" spans="1:2" x14ac:dyDescent="0.25">
      <c r="A41" s="13" t="s">
        <v>25</v>
      </c>
      <c r="B41" s="14">
        <v>15</v>
      </c>
    </row>
    <row r="42" spans="1:2" x14ac:dyDescent="0.25">
      <c r="A42" s="13" t="s">
        <v>143</v>
      </c>
      <c r="B42" s="14">
        <v>1</v>
      </c>
    </row>
    <row r="43" spans="1:2" x14ac:dyDescent="0.25">
      <c r="A43" s="13" t="s">
        <v>40</v>
      </c>
      <c r="B43" s="14">
        <v>6</v>
      </c>
    </row>
    <row r="44" spans="1:2" x14ac:dyDescent="0.25">
      <c r="A44" s="13" t="s">
        <v>73</v>
      </c>
      <c r="B44" s="14">
        <v>2</v>
      </c>
    </row>
    <row r="45" spans="1:2" x14ac:dyDescent="0.25">
      <c r="A45" s="13" t="s">
        <v>39</v>
      </c>
      <c r="B45" s="14">
        <v>6</v>
      </c>
    </row>
    <row r="46" spans="1:2" x14ac:dyDescent="0.25">
      <c r="A46" s="13" t="s">
        <v>151</v>
      </c>
      <c r="B46" s="14">
        <v>1</v>
      </c>
    </row>
    <row r="47" spans="1:2" x14ac:dyDescent="0.25">
      <c r="A47" s="13" t="s">
        <v>30</v>
      </c>
      <c r="B47" s="14">
        <v>3</v>
      </c>
    </row>
    <row r="48" spans="1:2" x14ac:dyDescent="0.25">
      <c r="A48" s="13" t="s">
        <v>149</v>
      </c>
      <c r="B48" s="14">
        <v>1</v>
      </c>
    </row>
    <row r="49" spans="1:2" x14ac:dyDescent="0.25">
      <c r="A49" s="13" t="s">
        <v>67</v>
      </c>
      <c r="B49" s="14">
        <v>3</v>
      </c>
    </row>
    <row r="50" spans="1:2" x14ac:dyDescent="0.25">
      <c r="A50" s="13" t="s">
        <v>54</v>
      </c>
      <c r="B50" s="14">
        <v>2</v>
      </c>
    </row>
    <row r="51" spans="1:2" x14ac:dyDescent="0.25">
      <c r="A51" s="13" t="s">
        <v>87</v>
      </c>
      <c r="B51" s="14">
        <v>2</v>
      </c>
    </row>
    <row r="52" spans="1:2" x14ac:dyDescent="0.25">
      <c r="A52" s="13" t="s">
        <v>264</v>
      </c>
      <c r="B52" s="14"/>
    </row>
    <row r="53" spans="1:2" x14ac:dyDescent="0.25">
      <c r="A53" s="13">
        <v>0</v>
      </c>
      <c r="B53" s="14">
        <v>36</v>
      </c>
    </row>
    <row r="54" spans="1:2" x14ac:dyDescent="0.25">
      <c r="A54" s="13" t="s">
        <v>22</v>
      </c>
      <c r="B54" s="15">
        <v>4</v>
      </c>
    </row>
    <row r="55" spans="1:2" x14ac:dyDescent="0.25">
      <c r="A55" s="16" t="s">
        <v>265</v>
      </c>
      <c r="B55" s="17">
        <v>264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265"/>
  <sheetViews>
    <sheetView zoomScaleNormal="100" workbookViewId="0">
      <selection activeCell="C38" sqref="C38"/>
    </sheetView>
  </sheetViews>
  <sheetFormatPr baseColWidth="10" defaultColWidth="10.7109375" defaultRowHeight="15" x14ac:dyDescent="0.25"/>
  <cols>
    <col min="1" max="1" width="17.5703125" customWidth="1"/>
    <col min="2" max="2" width="20.42578125" customWidth="1"/>
    <col min="3" max="3" width="16.140625" customWidth="1"/>
    <col min="4" max="4" width="11.140625" customWidth="1"/>
    <col min="5" max="5" width="11.5703125" customWidth="1"/>
    <col min="6" max="6" width="17.5703125" customWidth="1"/>
    <col min="7" max="7" width="8.42578125" customWidth="1"/>
    <col min="8" max="8" width="8.28515625" customWidth="1"/>
    <col min="9" max="9" width="14.42578125" customWidth="1"/>
    <col min="10" max="10" width="13.42578125" customWidth="1"/>
    <col min="11" max="11" width="10.140625" customWidth="1"/>
    <col min="12" max="12" width="15.140625" customWidth="1"/>
    <col min="13" max="14" width="10" customWidth="1"/>
    <col min="15" max="15" width="9.7109375" customWidth="1"/>
    <col min="16" max="16" width="14.85546875" customWidth="1"/>
    <col min="17" max="17" width="8.5703125" customWidth="1"/>
    <col min="18" max="18" width="12" customWidth="1"/>
    <col min="19" max="19" width="6.140625" customWidth="1"/>
    <col min="20" max="20" width="9.42578125" customWidth="1"/>
    <col min="21" max="21" width="14.140625" customWidth="1"/>
    <col min="22" max="22" width="8.5703125" customWidth="1"/>
    <col min="23" max="23" width="7.5703125" customWidth="1"/>
    <col min="24" max="24" width="14.85546875" customWidth="1"/>
    <col min="25" max="25" width="11" customWidth="1"/>
    <col min="26" max="26" width="12.5703125" customWidth="1"/>
  </cols>
  <sheetData>
    <row r="1" spans="2:2" x14ac:dyDescent="0.25">
      <c r="B1" t="s">
        <v>262</v>
      </c>
    </row>
    <row r="2" spans="2:2" x14ac:dyDescent="0.25">
      <c r="B2" s="2" t="str">
        <f>Resultados!J2</f>
        <v>Aerodactyl</v>
      </c>
    </row>
    <row r="3" spans="2:2" x14ac:dyDescent="0.25">
      <c r="B3" s="2" t="str">
        <f>Resultados!J3</f>
        <v>Arcanine</v>
      </c>
    </row>
    <row r="4" spans="2:2" x14ac:dyDescent="0.25">
      <c r="B4" s="2" t="str">
        <f>Resultados!J4</f>
        <v>Kangaskhan Mega</v>
      </c>
    </row>
    <row r="5" spans="2:2" x14ac:dyDescent="0.25">
      <c r="B5" s="2" t="str">
        <f>Resultados!J5</f>
        <v>Charizard_Mega_Y</v>
      </c>
    </row>
    <row r="6" spans="2:2" x14ac:dyDescent="0.25">
      <c r="B6" s="2">
        <f>Resultados!J6</f>
        <v>0</v>
      </c>
    </row>
    <row r="7" spans="2:2" x14ac:dyDescent="0.25">
      <c r="B7" s="2">
        <f>Resultados!J7</f>
        <v>0</v>
      </c>
    </row>
    <row r="8" spans="2:2" x14ac:dyDescent="0.25">
      <c r="B8" s="2" t="str">
        <f>Resultados!J8</f>
        <v>Venusaur Mega</v>
      </c>
    </row>
    <row r="9" spans="2:2" x14ac:dyDescent="0.25">
      <c r="B9" s="2" t="str">
        <f>Resultados!J9</f>
        <v>Aerodactyl Mega</v>
      </c>
    </row>
    <row r="10" spans="2:2" x14ac:dyDescent="0.25">
      <c r="B10" s="2" t="str">
        <f>Resultados!J10</f>
        <v>Pelipper</v>
      </c>
    </row>
    <row r="11" spans="2:2" x14ac:dyDescent="0.25">
      <c r="B11" s="2" t="str">
        <f>Resultados!J11</f>
        <v>Venusaur</v>
      </c>
    </row>
    <row r="12" spans="2:2" x14ac:dyDescent="0.25">
      <c r="B12" s="2" t="str">
        <f>Resultados!J12</f>
        <v>Gardevoir Mega</v>
      </c>
    </row>
    <row r="13" spans="2:2" x14ac:dyDescent="0.25">
      <c r="B13" s="2" t="str">
        <f>Resultados!J13</f>
        <v>Incineroar</v>
      </c>
    </row>
    <row r="14" spans="2:2" x14ac:dyDescent="0.25">
      <c r="B14" s="2" t="str">
        <f>Resultados!J14</f>
        <v>Talonflame</v>
      </c>
    </row>
    <row r="15" spans="2:2" x14ac:dyDescent="0.25">
      <c r="B15" s="2" t="str">
        <f>Resultados!J15</f>
        <v>Gardevoir Mega</v>
      </c>
    </row>
    <row r="16" spans="2:2" x14ac:dyDescent="0.25">
      <c r="B16" s="2" t="str">
        <f>Resultados!J16</f>
        <v>Whimsicott</v>
      </c>
    </row>
    <row r="17" spans="2:2" x14ac:dyDescent="0.25">
      <c r="B17" s="2" t="str">
        <f>Resultados!J17</f>
        <v>Aerodactyl Mega</v>
      </c>
    </row>
    <row r="18" spans="2:2" x14ac:dyDescent="0.25">
      <c r="B18" s="2">
        <f>Resultados!J18</f>
        <v>0</v>
      </c>
    </row>
    <row r="19" spans="2:2" x14ac:dyDescent="0.25">
      <c r="B19" s="2">
        <f>Resultados!J19</f>
        <v>0</v>
      </c>
    </row>
    <row r="20" spans="2:2" x14ac:dyDescent="0.25">
      <c r="B20" s="2" t="str">
        <f>Resultados!J20</f>
        <v>Floette-Eternal</v>
      </c>
    </row>
    <row r="21" spans="2:2" x14ac:dyDescent="0.25">
      <c r="B21" s="2" t="str">
        <f>Resultados!J21</f>
        <v>Gengar mega</v>
      </c>
    </row>
    <row r="22" spans="2:2" x14ac:dyDescent="0.25">
      <c r="B22" s="2" t="str">
        <f>Resultados!J22</f>
        <v>Kangaskhan Mega</v>
      </c>
    </row>
    <row r="23" spans="2:2" x14ac:dyDescent="0.25">
      <c r="B23" s="2" t="str">
        <f>Resultados!J23</f>
        <v>Charizard_Mega_Y</v>
      </c>
    </row>
    <row r="24" spans="2:2" x14ac:dyDescent="0.25">
      <c r="B24" s="2" t="str">
        <f>Resultados!J24</f>
        <v>Charizard_Mega_Y</v>
      </c>
    </row>
    <row r="25" spans="2:2" x14ac:dyDescent="0.25">
      <c r="B25" s="2" t="str">
        <f>Resultados!J25</f>
        <v>Kingambit</v>
      </c>
    </row>
    <row r="26" spans="2:2" x14ac:dyDescent="0.25">
      <c r="B26" s="2" t="str">
        <f>Resultados!J26</f>
        <v>Kangaskhan mega</v>
      </c>
    </row>
    <row r="27" spans="2:2" x14ac:dyDescent="0.25">
      <c r="B27" s="2" t="str">
        <f>Resultados!J27</f>
        <v>ninetales_alola</v>
      </c>
    </row>
    <row r="28" spans="2:2" x14ac:dyDescent="0.25">
      <c r="B28" s="2">
        <f>Resultados!J28</f>
        <v>0</v>
      </c>
    </row>
    <row r="29" spans="2:2" x14ac:dyDescent="0.25">
      <c r="B29" s="2">
        <f>Resultados!J29</f>
        <v>0</v>
      </c>
    </row>
    <row r="30" spans="2:2" x14ac:dyDescent="0.25">
      <c r="B30" s="2" t="str">
        <f>Resultados!J30</f>
        <v>Farigiraf</v>
      </c>
    </row>
    <row r="31" spans="2:2" x14ac:dyDescent="0.25">
      <c r="B31" s="2" t="str">
        <f>Resultados!J31</f>
        <v>Charizard_Mega_Y</v>
      </c>
    </row>
    <row r="32" spans="2:2" x14ac:dyDescent="0.25">
      <c r="B32" s="2" t="str">
        <f>Resultados!J32</f>
        <v>Floette-Eternal</v>
      </c>
    </row>
    <row r="33" spans="2:2" x14ac:dyDescent="0.25">
      <c r="B33" s="2" t="str">
        <f>Resultados!J33</f>
        <v>Charizard_Mega_Y</v>
      </c>
    </row>
    <row r="34" spans="2:2" x14ac:dyDescent="0.25">
      <c r="B34" s="2" t="str">
        <f>Resultados!J34</f>
        <v>Aerodactyl</v>
      </c>
    </row>
    <row r="35" spans="2:2" x14ac:dyDescent="0.25">
      <c r="B35" s="2" t="str">
        <f>Resultados!J35</f>
        <v>Charizard_Mega_Y</v>
      </c>
    </row>
    <row r="36" spans="2:2" x14ac:dyDescent="0.25">
      <c r="B36" s="2" t="str">
        <f>Resultados!J36</f>
        <v>Tyranitar</v>
      </c>
    </row>
    <row r="37" spans="2:2" x14ac:dyDescent="0.25">
      <c r="B37" s="2" t="str">
        <f>Resultados!J37</f>
        <v>Tyranitar</v>
      </c>
    </row>
    <row r="38" spans="2:2" x14ac:dyDescent="0.25">
      <c r="B38" s="2" t="str">
        <f>Resultados!J38</f>
        <v>Charizard_Mega_Y</v>
      </c>
    </row>
    <row r="39" spans="2:2" x14ac:dyDescent="0.25">
      <c r="B39" s="2" t="str">
        <f>Resultados!J39</f>
        <v>Blastoise</v>
      </c>
    </row>
    <row r="40" spans="2:2" x14ac:dyDescent="0.25">
      <c r="B40" s="2" t="str">
        <f>Resultados!J40</f>
        <v>Kingambit</v>
      </c>
    </row>
    <row r="41" spans="2:2" x14ac:dyDescent="0.25">
      <c r="B41" s="2" t="str">
        <f>Resultados!J41</f>
        <v>Tyranitar Mega</v>
      </c>
    </row>
    <row r="42" spans="2:2" x14ac:dyDescent="0.25">
      <c r="B42" s="2" t="str">
        <f>Resultados!J42</f>
        <v>Typhlosion Hisui</v>
      </c>
    </row>
    <row r="43" spans="2:2" x14ac:dyDescent="0.25">
      <c r="B43" s="2" t="str">
        <f>Resultados!J43</f>
        <v>palafin_hero</v>
      </c>
    </row>
    <row r="44" spans="2:2" x14ac:dyDescent="0.25">
      <c r="B44" s="2" t="str">
        <f>Resultados!J44</f>
        <v>Aerodactyl</v>
      </c>
    </row>
    <row r="45" spans="2:2" x14ac:dyDescent="0.25">
      <c r="B45" s="2" t="str">
        <f>Resultados!J45</f>
        <v>Charizard_Mega_Y</v>
      </c>
    </row>
    <row r="46" spans="2:2" x14ac:dyDescent="0.25">
      <c r="B46" s="2" t="str">
        <f>Resultados!K2</f>
        <v>kommo</v>
      </c>
    </row>
    <row r="47" spans="2:2" x14ac:dyDescent="0.25">
      <c r="B47" s="2" t="str">
        <f>Resultados!K3</f>
        <v>Gardevoir Mega</v>
      </c>
    </row>
    <row r="48" spans="2:2" x14ac:dyDescent="0.25">
      <c r="B48" s="2" t="str">
        <f>Resultados!K4</f>
        <v>Farigiraf</v>
      </c>
    </row>
    <row r="49" spans="2:2" x14ac:dyDescent="0.25">
      <c r="B49" s="2" t="str">
        <f>Resultados!K5</f>
        <v>Floette-Eternal</v>
      </c>
    </row>
    <row r="50" spans="2:2" x14ac:dyDescent="0.25">
      <c r="B50" s="2">
        <f>Resultados!K6</f>
        <v>0</v>
      </c>
    </row>
    <row r="51" spans="2:2" x14ac:dyDescent="0.25">
      <c r="B51" s="2">
        <f>Resultados!K7</f>
        <v>0</v>
      </c>
    </row>
    <row r="52" spans="2:2" x14ac:dyDescent="0.25">
      <c r="B52" s="2" t="str">
        <f>Resultados!K8</f>
        <v>Archaludon</v>
      </c>
    </row>
    <row r="53" spans="2:2" x14ac:dyDescent="0.25">
      <c r="B53" s="2" t="str">
        <f>Resultados!K9</f>
        <v>Scovillan mega</v>
      </c>
    </row>
    <row r="54" spans="2:2" x14ac:dyDescent="0.25">
      <c r="B54" s="2" t="str">
        <f>Resultados!K10</f>
        <v>Basculegion-Male</v>
      </c>
    </row>
    <row r="55" spans="2:2" x14ac:dyDescent="0.25">
      <c r="B55" s="2" t="str">
        <f>Resultados!K11</f>
        <v>Scizor</v>
      </c>
    </row>
    <row r="56" spans="2:2" x14ac:dyDescent="0.25">
      <c r="B56" s="2" t="str">
        <f>Resultados!K12</f>
        <v>Garchomp</v>
      </c>
    </row>
    <row r="57" spans="2:2" x14ac:dyDescent="0.25">
      <c r="B57" s="2" t="str">
        <f>Resultados!K13</f>
        <v>Farigiraf</v>
      </c>
    </row>
    <row r="58" spans="2:2" x14ac:dyDescent="0.25">
      <c r="B58" s="2" t="str">
        <f>Resultados!K14</f>
        <v>Garchomp</v>
      </c>
    </row>
    <row r="59" spans="2:2" x14ac:dyDescent="0.25">
      <c r="B59" s="2" t="str">
        <f>Resultados!K15</f>
        <v>Sneasler</v>
      </c>
    </row>
    <row r="60" spans="2:2" x14ac:dyDescent="0.25">
      <c r="B60" s="2" t="str">
        <f>Resultados!K16</f>
        <v>Venusaur Mega</v>
      </c>
    </row>
    <row r="61" spans="2:2" x14ac:dyDescent="0.25">
      <c r="B61" s="2" t="str">
        <f>Resultados!K17</f>
        <v>Scovillan mega</v>
      </c>
    </row>
    <row r="62" spans="2:2" x14ac:dyDescent="0.25">
      <c r="B62" s="2">
        <f>Resultados!K18</f>
        <v>0</v>
      </c>
    </row>
    <row r="63" spans="2:2" x14ac:dyDescent="0.25">
      <c r="B63" s="2">
        <f>Resultados!K19</f>
        <v>0</v>
      </c>
    </row>
    <row r="64" spans="2:2" x14ac:dyDescent="0.25">
      <c r="B64" s="2" t="str">
        <f>Resultados!K20</f>
        <v>Aerodactyl</v>
      </c>
    </row>
    <row r="65" spans="2:2" x14ac:dyDescent="0.25">
      <c r="B65" s="2" t="str">
        <f>Resultados!K21</f>
        <v>rotom_wash</v>
      </c>
    </row>
    <row r="66" spans="2:2" x14ac:dyDescent="0.25">
      <c r="B66" s="2" t="str">
        <f>Resultados!K22</f>
        <v>Torkoal</v>
      </c>
    </row>
    <row r="67" spans="2:2" x14ac:dyDescent="0.25">
      <c r="B67" s="2" t="str">
        <f>Resultados!K23</f>
        <v>Froslass Mega</v>
      </c>
    </row>
    <row r="68" spans="2:2" x14ac:dyDescent="0.25">
      <c r="B68" s="2" t="str">
        <f>Resultados!K24</f>
        <v>Kingambit</v>
      </c>
    </row>
    <row r="69" spans="2:2" x14ac:dyDescent="0.25">
      <c r="B69" s="2" t="str">
        <f>Resultados!K25</f>
        <v>ninetales_alola</v>
      </c>
    </row>
    <row r="70" spans="2:2" x14ac:dyDescent="0.25">
      <c r="B70" s="2" t="str">
        <f>Resultados!K26</f>
        <v>Farigiraf</v>
      </c>
    </row>
    <row r="71" spans="2:2" x14ac:dyDescent="0.25">
      <c r="B71" s="2" t="str">
        <f>Resultados!K27</f>
        <v>Sneasler</v>
      </c>
    </row>
    <row r="72" spans="2:2" x14ac:dyDescent="0.25">
      <c r="B72" s="2">
        <f>Resultados!K28</f>
        <v>0</v>
      </c>
    </row>
    <row r="73" spans="2:2" x14ac:dyDescent="0.25">
      <c r="B73" s="2">
        <f>Resultados!K29</f>
        <v>0</v>
      </c>
    </row>
    <row r="74" spans="2:2" x14ac:dyDescent="0.25">
      <c r="B74" s="2" t="str">
        <f>Resultados!K30</f>
        <v>Torkoal</v>
      </c>
    </row>
    <row r="75" spans="2:2" x14ac:dyDescent="0.25">
      <c r="B75" s="2" t="str">
        <f>Resultados!K31</f>
        <v>Sneasler</v>
      </c>
    </row>
    <row r="76" spans="2:2" x14ac:dyDescent="0.25">
      <c r="B76" s="2" t="str">
        <f>Resultados!K32</f>
        <v>Incineroar</v>
      </c>
    </row>
    <row r="77" spans="2:2" x14ac:dyDescent="0.25">
      <c r="B77" s="2" t="str">
        <f>Resultados!K33</f>
        <v>Floette-Eternal</v>
      </c>
    </row>
    <row r="78" spans="2:2" x14ac:dyDescent="0.25">
      <c r="B78" s="2" t="str">
        <f>Resultados!K34</f>
        <v>Floette-Eternal</v>
      </c>
    </row>
    <row r="79" spans="2:2" x14ac:dyDescent="0.25">
      <c r="B79" s="2" t="str">
        <f>Resultados!K35</f>
        <v>Farigiraf</v>
      </c>
    </row>
    <row r="80" spans="2:2" x14ac:dyDescent="0.25">
      <c r="B80" s="2" t="str">
        <f>Resultados!K36</f>
        <v>Excadrill</v>
      </c>
    </row>
    <row r="81" spans="2:2" x14ac:dyDescent="0.25">
      <c r="B81" s="2" t="str">
        <f>Resultados!K37</f>
        <v>Excadrill</v>
      </c>
    </row>
    <row r="82" spans="2:2" x14ac:dyDescent="0.25">
      <c r="B82" s="2" t="str">
        <f>Resultados!K38</f>
        <v>Aerodactyl</v>
      </c>
    </row>
    <row r="83" spans="2:2" x14ac:dyDescent="0.25">
      <c r="B83" s="2" t="str">
        <f>Resultados!K39</f>
        <v>Pelipper</v>
      </c>
    </row>
    <row r="84" spans="2:2" x14ac:dyDescent="0.25">
      <c r="B84" s="2" t="str">
        <f>Resultados!K40</f>
        <v>Aerodactyl Mega</v>
      </c>
    </row>
    <row r="85" spans="2:2" x14ac:dyDescent="0.25">
      <c r="B85" s="2" t="str">
        <f>Resultados!K41</f>
        <v>Floette-Eternal</v>
      </c>
    </row>
    <row r="86" spans="2:2" x14ac:dyDescent="0.25">
      <c r="B86" s="2" t="str">
        <f>Resultados!K42</f>
        <v>Gardevoir Mega</v>
      </c>
    </row>
    <row r="87" spans="2:2" x14ac:dyDescent="0.25">
      <c r="B87" s="2" t="str">
        <f>Resultados!K43</f>
        <v>Pelipper</v>
      </c>
    </row>
    <row r="88" spans="2:2" x14ac:dyDescent="0.25">
      <c r="B88" s="2" t="str">
        <f>Resultados!K44</f>
        <v>Charizard_Mega_Y</v>
      </c>
    </row>
    <row r="89" spans="2:2" x14ac:dyDescent="0.25">
      <c r="B89" s="2" t="str">
        <f>Resultados!K45</f>
        <v>Aerodactyl</v>
      </c>
    </row>
    <row r="90" spans="2:2" x14ac:dyDescent="0.25">
      <c r="B90" s="2" t="str">
        <f>Resultados!L2</f>
        <v>Kingambit</v>
      </c>
    </row>
    <row r="91" spans="2:2" x14ac:dyDescent="0.25">
      <c r="B91" s="2" t="str">
        <f>Resultados!L3</f>
        <v>Tyranitar</v>
      </c>
    </row>
    <row r="92" spans="2:2" x14ac:dyDescent="0.25">
      <c r="B92" s="2" t="str">
        <f>Resultados!L4</f>
        <v>Basculegion-Male</v>
      </c>
    </row>
    <row r="93" spans="2:2" x14ac:dyDescent="0.25">
      <c r="B93" s="2" t="str">
        <f>Resultados!L5</f>
        <v>Aerodactyl</v>
      </c>
    </row>
    <row r="94" spans="2:2" x14ac:dyDescent="0.25">
      <c r="B94" s="2">
        <f>Resultados!L6</f>
        <v>0</v>
      </c>
    </row>
    <row r="95" spans="2:2" x14ac:dyDescent="0.25">
      <c r="B95" s="2">
        <f>Resultados!L7</f>
        <v>0</v>
      </c>
    </row>
    <row r="96" spans="2:2" x14ac:dyDescent="0.25">
      <c r="B96" s="2" t="str">
        <f>Resultados!L8</f>
        <v>Pelipper</v>
      </c>
    </row>
    <row r="97" spans="2:2" x14ac:dyDescent="0.25">
      <c r="B97" s="2" t="str">
        <f>Resultados!L9</f>
        <v>kommo</v>
      </c>
    </row>
    <row r="98" spans="2:2" x14ac:dyDescent="0.25">
      <c r="B98" s="2" t="str">
        <f>Resultados!L10</f>
        <v>Dragonite</v>
      </c>
    </row>
    <row r="99" spans="2:2" x14ac:dyDescent="0.25">
      <c r="B99" s="2" t="str">
        <f>Resultados!L11</f>
        <v>Pelipper</v>
      </c>
    </row>
    <row r="100" spans="2:2" x14ac:dyDescent="0.25">
      <c r="B100" s="2" t="str">
        <f>Resultados!L12</f>
        <v>Talonflame</v>
      </c>
    </row>
    <row r="101" spans="2:2" x14ac:dyDescent="0.25">
      <c r="B101" s="2" t="str">
        <f>Resultados!L13</f>
        <v>Charizard_Mega_Y</v>
      </c>
    </row>
    <row r="102" spans="2:2" x14ac:dyDescent="0.25">
      <c r="B102" s="2" t="str">
        <f>Resultados!L14</f>
        <v>Sneasler</v>
      </c>
    </row>
    <row r="103" spans="2:2" x14ac:dyDescent="0.25">
      <c r="B103" s="2" t="str">
        <f>Resultados!L15</f>
        <v>Pelipper</v>
      </c>
    </row>
    <row r="104" spans="2:2" x14ac:dyDescent="0.25">
      <c r="B104" s="2" t="str">
        <f>Resultados!L16</f>
        <v>Charizard_Mega_Y</v>
      </c>
    </row>
    <row r="105" spans="2:2" x14ac:dyDescent="0.25">
      <c r="B105" s="2" t="str">
        <f>Resultados!L17</f>
        <v>Sneasler</v>
      </c>
    </row>
    <row r="106" spans="2:2" x14ac:dyDescent="0.25">
      <c r="B106" s="2">
        <f>Resultados!L18</f>
        <v>0</v>
      </c>
    </row>
    <row r="107" spans="2:2" x14ac:dyDescent="0.25">
      <c r="B107" s="2">
        <f>Resultados!L19</f>
        <v>0</v>
      </c>
    </row>
    <row r="108" spans="2:2" x14ac:dyDescent="0.25">
      <c r="B108" s="2" t="str">
        <f>Resultados!L20</f>
        <v>Sneasler</v>
      </c>
    </row>
    <row r="109" spans="2:2" x14ac:dyDescent="0.25">
      <c r="B109" s="2" t="str">
        <f>Resultados!L21</f>
        <v>Aegislash blade</v>
      </c>
    </row>
    <row r="110" spans="2:2" x14ac:dyDescent="0.25">
      <c r="B110" s="2" t="str">
        <f>Resultados!L22</f>
        <v>Farigiraf</v>
      </c>
    </row>
    <row r="111" spans="2:2" x14ac:dyDescent="0.25">
      <c r="B111" s="2" t="str">
        <f>Resultados!L23</f>
        <v>Aerodactyl</v>
      </c>
    </row>
    <row r="112" spans="2:2" x14ac:dyDescent="0.25">
      <c r="B112" s="2" t="str">
        <f>Resultados!L24</f>
        <v>Sneasler</v>
      </c>
    </row>
    <row r="113" spans="2:2" x14ac:dyDescent="0.25">
      <c r="B113" s="2" t="str">
        <f>Resultados!L25</f>
        <v>Gengar mega</v>
      </c>
    </row>
    <row r="114" spans="2:2" x14ac:dyDescent="0.25">
      <c r="B114" s="2" t="str">
        <f>Resultados!L26</f>
        <v>Torkoal</v>
      </c>
    </row>
    <row r="115" spans="2:2" x14ac:dyDescent="0.25">
      <c r="B115" s="2" t="str">
        <f>Resultados!L27</f>
        <v>Gengar mega</v>
      </c>
    </row>
    <row r="116" spans="2:2" x14ac:dyDescent="0.25">
      <c r="B116" s="2">
        <f>Resultados!L28</f>
        <v>0</v>
      </c>
    </row>
    <row r="117" spans="2:2" x14ac:dyDescent="0.25">
      <c r="B117" s="2">
        <f>Resultados!L29</f>
        <v>0</v>
      </c>
    </row>
    <row r="118" spans="2:2" x14ac:dyDescent="0.25">
      <c r="B118" s="2" t="str">
        <f>Resultados!L30</f>
        <v>Sylveon</v>
      </c>
    </row>
    <row r="119" spans="2:2" x14ac:dyDescent="0.25">
      <c r="B119" s="2" t="str">
        <f>Resultados!L31</f>
        <v>Basculegion-Male</v>
      </c>
    </row>
    <row r="120" spans="2:2" x14ac:dyDescent="0.25">
      <c r="B120" s="2" t="str">
        <f>Resultados!L32</f>
        <v>Camerupt mega</v>
      </c>
    </row>
    <row r="121" spans="2:2" x14ac:dyDescent="0.25">
      <c r="B121" s="2" t="str">
        <f>Resultados!L33</f>
        <v>Kingambit</v>
      </c>
    </row>
    <row r="122" spans="2:2" x14ac:dyDescent="0.25">
      <c r="B122" s="2" t="str">
        <f>Resultados!L34</f>
        <v>Garchomp</v>
      </c>
    </row>
    <row r="123" spans="2:2" x14ac:dyDescent="0.25">
      <c r="B123" s="2" t="str">
        <f>Resultados!L35</f>
        <v>Aerodactyl</v>
      </c>
    </row>
    <row r="124" spans="2:2" x14ac:dyDescent="0.25">
      <c r="B124" s="2" t="str">
        <f>Resultados!L36</f>
        <v>Sneasler</v>
      </c>
    </row>
    <row r="125" spans="2:2" x14ac:dyDescent="0.25">
      <c r="B125" s="2" t="str">
        <f>Resultados!L37</f>
        <v>Sneasler</v>
      </c>
    </row>
    <row r="126" spans="2:2" x14ac:dyDescent="0.25">
      <c r="B126" s="2" t="str">
        <f>Resultados!L38</f>
        <v>Kingambit</v>
      </c>
    </row>
    <row r="127" spans="2:2" x14ac:dyDescent="0.25">
      <c r="B127" s="2" t="str">
        <f>Resultados!L39</f>
        <v>Primarina</v>
      </c>
    </row>
    <row r="128" spans="2:2" x14ac:dyDescent="0.25">
      <c r="B128" s="2" t="str">
        <f>Resultados!L40</f>
        <v>Scovillan mega</v>
      </c>
    </row>
    <row r="129" spans="2:2" x14ac:dyDescent="0.25">
      <c r="B129" s="2" t="str">
        <f>Resultados!L41</f>
        <v>rotom_wash</v>
      </c>
    </row>
    <row r="130" spans="2:2" x14ac:dyDescent="0.25">
      <c r="B130" s="2" t="str">
        <f>Resultados!L42</f>
        <v>Incineroar</v>
      </c>
    </row>
    <row r="131" spans="2:2" x14ac:dyDescent="0.25">
      <c r="B131" s="2" t="str">
        <f>Resultados!L43</f>
        <v>Hydreigon</v>
      </c>
    </row>
    <row r="132" spans="2:2" x14ac:dyDescent="0.25">
      <c r="B132" s="2" t="str">
        <f>Resultados!L44</f>
        <v>Basculegion-Male</v>
      </c>
    </row>
    <row r="133" spans="2:2" x14ac:dyDescent="0.25">
      <c r="B133" s="2" t="str">
        <f>Resultados!L45</f>
        <v>Ariados</v>
      </c>
    </row>
    <row r="134" spans="2:2" x14ac:dyDescent="0.25">
      <c r="B134" s="2" t="str">
        <f>Resultados!M2</f>
        <v>Scovillan mega</v>
      </c>
    </row>
    <row r="135" spans="2:2" x14ac:dyDescent="0.25">
      <c r="B135" s="2" t="str">
        <f>Resultados!M3</f>
        <v>rotom_wash</v>
      </c>
    </row>
    <row r="136" spans="2:2" x14ac:dyDescent="0.25">
      <c r="B136" s="2" t="str">
        <f>Resultados!M4</f>
        <v>Torkoal</v>
      </c>
    </row>
    <row r="137" spans="2:2" x14ac:dyDescent="0.25">
      <c r="B137" s="2" t="str">
        <f>Resultados!M5</f>
        <v>Garchomp</v>
      </c>
    </row>
    <row r="138" spans="2:2" x14ac:dyDescent="0.25">
      <c r="B138" s="2">
        <f>Resultados!M6</f>
        <v>0</v>
      </c>
    </row>
    <row r="139" spans="2:2" x14ac:dyDescent="0.25">
      <c r="B139" s="2">
        <f>Resultados!M7</f>
        <v>0</v>
      </c>
    </row>
    <row r="140" spans="2:2" x14ac:dyDescent="0.25">
      <c r="B140" s="2" t="str">
        <f>Resultados!M8</f>
        <v>Basculegion-Male</v>
      </c>
    </row>
    <row r="141" spans="2:2" x14ac:dyDescent="0.25">
      <c r="B141" s="2" t="str">
        <f>Resultados!M9</f>
        <v>Sneasler</v>
      </c>
    </row>
    <row r="142" spans="2:2" x14ac:dyDescent="0.25">
      <c r="B142" s="2" t="str">
        <f>Resultados!M10</f>
        <v>Kingambit</v>
      </c>
    </row>
    <row r="143" spans="2:2" x14ac:dyDescent="0.25">
      <c r="B143" s="2" t="str">
        <f>Resultados!M11</f>
        <v>Basculegion-Male</v>
      </c>
    </row>
    <row r="144" spans="2:2" x14ac:dyDescent="0.25">
      <c r="B144" s="2" t="str">
        <f>Resultados!M12</f>
        <v>Basculegion-Male</v>
      </c>
    </row>
    <row r="145" spans="2:2" x14ac:dyDescent="0.25">
      <c r="B145" s="2" t="str">
        <f>Resultados!M13</f>
        <v>Drampa</v>
      </c>
    </row>
    <row r="146" spans="2:2" x14ac:dyDescent="0.25">
      <c r="B146" s="2" t="str">
        <f>Resultados!M14</f>
        <v>Basculegion-Male</v>
      </c>
    </row>
    <row r="147" spans="2:2" x14ac:dyDescent="0.25">
      <c r="B147" s="2" t="str">
        <f>Resultados!M15</f>
        <v>Incineroar</v>
      </c>
    </row>
    <row r="148" spans="2:2" x14ac:dyDescent="0.25">
      <c r="B148" s="2" t="str">
        <f>Resultados!M16</f>
        <v>Garchomp</v>
      </c>
    </row>
    <row r="149" spans="2:2" x14ac:dyDescent="0.25">
      <c r="B149" s="2" t="str">
        <f>Resultados!M17</f>
        <v>Basculegion-Male</v>
      </c>
    </row>
    <row r="150" spans="2:2" x14ac:dyDescent="0.25">
      <c r="B150" s="2">
        <f>Resultados!M18</f>
        <v>0</v>
      </c>
    </row>
    <row r="151" spans="2:2" x14ac:dyDescent="0.25">
      <c r="B151" s="2">
        <f>Resultados!M19</f>
        <v>0</v>
      </c>
    </row>
    <row r="152" spans="2:2" x14ac:dyDescent="0.25">
      <c r="B152" s="2" t="str">
        <f>Resultados!M20</f>
        <v>Incineroar</v>
      </c>
    </row>
    <row r="153" spans="2:2" x14ac:dyDescent="0.25">
      <c r="B153" s="2" t="str">
        <f>Resultados!M21</f>
        <v>ninetales_alola</v>
      </c>
    </row>
    <row r="154" spans="2:2" x14ac:dyDescent="0.25">
      <c r="B154" s="2" t="str">
        <f>Resultados!M22</f>
        <v>Hatterene</v>
      </c>
    </row>
    <row r="155" spans="2:2" x14ac:dyDescent="0.25">
      <c r="B155" s="2" t="str">
        <f>Resultados!M23</f>
        <v>Basculegion-Male</v>
      </c>
    </row>
    <row r="156" spans="2:2" x14ac:dyDescent="0.25">
      <c r="B156" s="2" t="str">
        <f>Resultados!M24</f>
        <v>Garchomp</v>
      </c>
    </row>
    <row r="157" spans="2:2" x14ac:dyDescent="0.25">
      <c r="B157" s="2" t="str">
        <f>Resultados!M25</f>
        <v>Dragonite</v>
      </c>
    </row>
    <row r="158" spans="2:2" x14ac:dyDescent="0.25">
      <c r="B158" s="2" t="str">
        <f>Resultados!M26</f>
        <v>Basculegion-Male</v>
      </c>
    </row>
    <row r="159" spans="2:2" x14ac:dyDescent="0.25">
      <c r="B159" s="2" t="str">
        <f>Resultados!M27</f>
        <v>Kingambit</v>
      </c>
    </row>
    <row r="160" spans="2:2" x14ac:dyDescent="0.25">
      <c r="B160" s="2">
        <f>Resultados!M28</f>
        <v>0</v>
      </c>
    </row>
    <row r="161" spans="2:2" x14ac:dyDescent="0.25">
      <c r="B161" s="2">
        <f>Resultados!M29</f>
        <v>0</v>
      </c>
    </row>
    <row r="162" spans="2:2" x14ac:dyDescent="0.25">
      <c r="B162" s="2" t="str">
        <f>Resultados!M30</f>
        <v>Kingambit</v>
      </c>
    </row>
    <row r="163" spans="2:2" x14ac:dyDescent="0.25">
      <c r="B163" s="2" t="str">
        <f>Resultados!M31</f>
        <v>Incineroar</v>
      </c>
    </row>
    <row r="164" spans="2:2" x14ac:dyDescent="0.25">
      <c r="B164" s="2" t="str">
        <f>Resultados!M32</f>
        <v>Sinitscha</v>
      </c>
    </row>
    <row r="165" spans="2:2" x14ac:dyDescent="0.25">
      <c r="B165" s="2" t="str">
        <f>Resultados!M33</f>
        <v>Basculegion-Male</v>
      </c>
    </row>
    <row r="166" spans="2:2" x14ac:dyDescent="0.25">
      <c r="B166" s="2" t="str">
        <f>Resultados!M34</f>
        <v>Basculegion-Male</v>
      </c>
    </row>
    <row r="167" spans="2:2" x14ac:dyDescent="0.25">
      <c r="B167" s="2" t="str">
        <f>Resultados!M35</f>
        <v>Sylveon</v>
      </c>
    </row>
    <row r="168" spans="2:2" x14ac:dyDescent="0.25">
      <c r="B168" s="2" t="str">
        <f>Resultados!M36</f>
        <v>Scovillan mega</v>
      </c>
    </row>
    <row r="169" spans="2:2" x14ac:dyDescent="0.25">
      <c r="B169" s="2" t="str">
        <f>Resultados!M37</f>
        <v>Incineroar</v>
      </c>
    </row>
    <row r="170" spans="2:2" x14ac:dyDescent="0.25">
      <c r="B170" s="2" t="str">
        <f>Resultados!M38</f>
        <v>Floette-Eternal</v>
      </c>
    </row>
    <row r="171" spans="2:2" x14ac:dyDescent="0.25">
      <c r="B171" s="2" t="str">
        <f>Resultados!M39</f>
        <v>Starmie</v>
      </c>
    </row>
    <row r="172" spans="2:2" x14ac:dyDescent="0.25">
      <c r="B172" s="2" t="str">
        <f>Resultados!M40</f>
        <v>Sneasler</v>
      </c>
    </row>
    <row r="173" spans="2:2" x14ac:dyDescent="0.25">
      <c r="B173" s="2" t="str">
        <f>Resultados!M41</f>
        <v>Excadrill</v>
      </c>
    </row>
    <row r="174" spans="2:2" x14ac:dyDescent="0.25">
      <c r="B174" s="2" t="str">
        <f>Resultados!M42</f>
        <v>Farigiraf</v>
      </c>
    </row>
    <row r="175" spans="2:2" x14ac:dyDescent="0.25">
      <c r="B175" s="2" t="str">
        <f>Resultados!M43</f>
        <v>maushold_family_of_four</v>
      </c>
    </row>
    <row r="176" spans="2:2" x14ac:dyDescent="0.25">
      <c r="B176" s="2" t="str">
        <f>Resultados!M44</f>
        <v>Garchomp</v>
      </c>
    </row>
    <row r="177" spans="2:2" x14ac:dyDescent="0.25">
      <c r="B177" s="2" t="str">
        <f>Resultados!M45</f>
        <v>Garchomp</v>
      </c>
    </row>
    <row r="178" spans="2:2" x14ac:dyDescent="0.25">
      <c r="B178" s="2" t="str">
        <f>Resultados!N2</f>
        <v>Sneasler</v>
      </c>
    </row>
    <row r="179" spans="2:2" x14ac:dyDescent="0.25">
      <c r="B179" s="2" t="str">
        <f>Resultados!N3</f>
        <v>Garchomp</v>
      </c>
    </row>
    <row r="180" spans="2:2" x14ac:dyDescent="0.25">
      <c r="B180" s="2" t="str">
        <f>Resultados!N4</f>
        <v>Kingambit</v>
      </c>
    </row>
    <row r="181" spans="2:2" x14ac:dyDescent="0.25">
      <c r="B181" s="2" t="str">
        <f>Resultados!N5</f>
        <v>Kingambit</v>
      </c>
    </row>
    <row r="182" spans="2:2" x14ac:dyDescent="0.25">
      <c r="B182" s="2">
        <f>Resultados!N6</f>
        <v>0</v>
      </c>
    </row>
    <row r="183" spans="2:2" x14ac:dyDescent="0.25">
      <c r="B183" s="2">
        <f>Resultados!N7</f>
        <v>0</v>
      </c>
    </row>
    <row r="184" spans="2:2" x14ac:dyDescent="0.25">
      <c r="B184" s="2" t="str">
        <f>Resultados!N8</f>
        <v>Sableye</v>
      </c>
    </row>
    <row r="185" spans="2:2" x14ac:dyDescent="0.25">
      <c r="B185" s="2" t="str">
        <f>Resultados!N9</f>
        <v>Kingambit</v>
      </c>
    </row>
    <row r="186" spans="2:2" x14ac:dyDescent="0.25">
      <c r="B186" s="2" t="str">
        <f>Resultados!N10</f>
        <v>Sneasler</v>
      </c>
    </row>
    <row r="187" spans="2:2" x14ac:dyDescent="0.25">
      <c r="B187" s="2" t="str">
        <f>Resultados!N11</f>
        <v>Archaludon</v>
      </c>
    </row>
    <row r="188" spans="2:2" x14ac:dyDescent="0.25">
      <c r="B188" s="2" t="str">
        <f>Resultados!N12</f>
        <v>Kingambit</v>
      </c>
    </row>
    <row r="189" spans="2:2" x14ac:dyDescent="0.25">
      <c r="B189" s="2" t="str">
        <f>Resultados!N13</f>
        <v>Torkoal</v>
      </c>
    </row>
    <row r="190" spans="2:2" x14ac:dyDescent="0.25">
      <c r="B190" s="2" t="str">
        <f>Resultados!N14</f>
        <v>Kingambit</v>
      </c>
    </row>
    <row r="191" spans="2:2" x14ac:dyDescent="0.25">
      <c r="B191" s="2" t="str">
        <f>Resultados!N15</f>
        <v>Basculegion-Male</v>
      </c>
    </row>
    <row r="192" spans="2:2" x14ac:dyDescent="0.25">
      <c r="B192" s="2" t="str">
        <f>Resultados!N16</f>
        <v>Basculegion-Male</v>
      </c>
    </row>
    <row r="193" spans="2:2" x14ac:dyDescent="0.25">
      <c r="B193" s="2" t="str">
        <f>Resultados!N17</f>
        <v>Kingambit</v>
      </c>
    </row>
    <row r="194" spans="2:2" x14ac:dyDescent="0.25">
      <c r="B194" s="2">
        <f>Resultados!N18</f>
        <v>0</v>
      </c>
    </row>
    <row r="195" spans="2:2" x14ac:dyDescent="0.25">
      <c r="B195" s="2">
        <f>Resultados!N19</f>
        <v>0</v>
      </c>
    </row>
    <row r="196" spans="2:2" x14ac:dyDescent="0.25">
      <c r="B196" s="2" t="str">
        <f>Resultados!N20</f>
        <v>Garchomp</v>
      </c>
    </row>
    <row r="197" spans="2:2" x14ac:dyDescent="0.25">
      <c r="B197" s="2" t="str">
        <f>Resultados!N21</f>
        <v>Garchomp</v>
      </c>
    </row>
    <row r="198" spans="2:2" x14ac:dyDescent="0.25">
      <c r="B198" s="2" t="str">
        <f>Resultados!N22</f>
        <v>Kingambit</v>
      </c>
    </row>
    <row r="199" spans="2:2" x14ac:dyDescent="0.25">
      <c r="B199" s="2" t="str">
        <f>Resultados!N23</f>
        <v>Kingambit</v>
      </c>
    </row>
    <row r="200" spans="2:2" x14ac:dyDescent="0.25">
      <c r="B200" s="2" t="str">
        <f>Resultados!N24</f>
        <v>Basculegion-Male</v>
      </c>
    </row>
    <row r="201" spans="2:2" x14ac:dyDescent="0.25">
      <c r="B201" s="2" t="str">
        <f>Resultados!N25</f>
        <v>Incineroar</v>
      </c>
    </row>
    <row r="202" spans="2:2" x14ac:dyDescent="0.25">
      <c r="B202" s="2" t="str">
        <f>Resultados!N26</f>
        <v>Kingambit</v>
      </c>
    </row>
    <row r="203" spans="2:2" x14ac:dyDescent="0.25">
      <c r="B203" s="2" t="str">
        <f>Resultados!N27</f>
        <v>Incineroar</v>
      </c>
    </row>
    <row r="204" spans="2:2" x14ac:dyDescent="0.25">
      <c r="B204" s="2">
        <f>Resultados!N28</f>
        <v>0</v>
      </c>
    </row>
    <row r="205" spans="2:2" x14ac:dyDescent="0.25">
      <c r="B205" s="2">
        <f>Resultados!N29</f>
        <v>0</v>
      </c>
    </row>
    <row r="206" spans="2:2" x14ac:dyDescent="0.25">
      <c r="B206" s="2" t="str">
        <f>Resultados!N30</f>
        <v>Basculegion-Male</v>
      </c>
    </row>
    <row r="207" spans="2:2" x14ac:dyDescent="0.25">
      <c r="B207" s="2" t="str">
        <f>Resultados!N31</f>
        <v>Venusaur</v>
      </c>
    </row>
    <row r="208" spans="2:2" x14ac:dyDescent="0.25">
      <c r="B208" s="2" t="str">
        <f>Resultados!N32</f>
        <v>maushold_family_of_four</v>
      </c>
    </row>
    <row r="209" spans="2:2" x14ac:dyDescent="0.25">
      <c r="B209" s="2" t="str">
        <f>Resultados!N33</f>
        <v>Aerodactyl</v>
      </c>
    </row>
    <row r="210" spans="2:2" x14ac:dyDescent="0.25">
      <c r="B210" s="2" t="str">
        <f>Resultados!N34</f>
        <v>Sneasler</v>
      </c>
    </row>
    <row r="211" spans="2:2" x14ac:dyDescent="0.25">
      <c r="B211" s="2" t="str">
        <f>Resultados!N35</f>
        <v>Basculegion-Male</v>
      </c>
    </row>
    <row r="212" spans="2:2" x14ac:dyDescent="0.25">
      <c r="B212" s="2" t="str">
        <f>Resultados!N36</f>
        <v>Corviknight</v>
      </c>
    </row>
    <row r="213" spans="2:2" x14ac:dyDescent="0.25">
      <c r="B213" s="2" t="str">
        <f>Resultados!N37</f>
        <v>Basculegion-Male</v>
      </c>
    </row>
    <row r="214" spans="2:2" x14ac:dyDescent="0.25">
      <c r="B214" s="2" t="str">
        <f>Resultados!N38</f>
        <v>Garchomp</v>
      </c>
    </row>
    <row r="215" spans="2:2" x14ac:dyDescent="0.25">
      <c r="B215" s="2" t="str">
        <f>Resultados!N39</f>
        <v>Archaludon</v>
      </c>
    </row>
    <row r="216" spans="2:2" x14ac:dyDescent="0.25">
      <c r="B216" s="2" t="str">
        <f>Resultados!N40</f>
        <v>Basculegion-Male</v>
      </c>
    </row>
    <row r="217" spans="2:2" x14ac:dyDescent="0.25">
      <c r="B217" s="2" t="str">
        <f>Resultados!N41</f>
        <v>Incineroar</v>
      </c>
    </row>
    <row r="218" spans="2:2" x14ac:dyDescent="0.25">
      <c r="B218" s="2" t="str">
        <f>Resultados!N42</f>
        <v>Garchomp mega</v>
      </c>
    </row>
    <row r="219" spans="2:2" x14ac:dyDescent="0.25">
      <c r="B219" s="2" t="str">
        <f>Resultados!N43</f>
        <v>Gengar mega</v>
      </c>
    </row>
    <row r="220" spans="2:2" x14ac:dyDescent="0.25">
      <c r="B220" s="2" t="str">
        <f>Resultados!N44</f>
        <v>Floette-Eternal</v>
      </c>
    </row>
    <row r="221" spans="2:2" x14ac:dyDescent="0.25">
      <c r="B221" s="2" t="str">
        <f>Resultados!N45</f>
        <v>Sylveon</v>
      </c>
    </row>
    <row r="222" spans="2:2" x14ac:dyDescent="0.25">
      <c r="B222" s="2" t="str">
        <f>Resultados!O2</f>
        <v>Basculegion-Male</v>
      </c>
    </row>
    <row r="223" spans="2:2" x14ac:dyDescent="0.25">
      <c r="B223" s="2" t="str">
        <f>Resultados!O3</f>
        <v>Corviknight</v>
      </c>
    </row>
    <row r="224" spans="2:2" x14ac:dyDescent="0.25">
      <c r="B224" s="2" t="str">
        <f>Resultados!O4</f>
        <v>Sylveon</v>
      </c>
    </row>
    <row r="225" spans="2:2" x14ac:dyDescent="0.25">
      <c r="B225" s="2" t="str">
        <f>Resultados!O5</f>
        <v>Basculegion-Male</v>
      </c>
    </row>
    <row r="226" spans="2:2" x14ac:dyDescent="0.25">
      <c r="B226" s="2">
        <f>Resultados!O6</f>
        <v>0</v>
      </c>
    </row>
    <row r="227" spans="2:2" x14ac:dyDescent="0.25">
      <c r="B227" s="2">
        <f>Resultados!O7</f>
        <v>0</v>
      </c>
    </row>
    <row r="228" spans="2:2" x14ac:dyDescent="0.25">
      <c r="B228" s="2" t="str">
        <f>Resultados!O8</f>
        <v>Kingambit</v>
      </c>
    </row>
    <row r="229" spans="2:2" x14ac:dyDescent="0.25">
      <c r="B229" s="2" t="str">
        <f>Resultados!O9</f>
        <v>Sylveon</v>
      </c>
    </row>
    <row r="230" spans="2:2" x14ac:dyDescent="0.25">
      <c r="B230" s="2" t="str">
        <f>Resultados!O10</f>
        <v>Archaludon</v>
      </c>
    </row>
    <row r="231" spans="2:2" x14ac:dyDescent="0.25">
      <c r="B231" s="2" t="str">
        <f>Resultados!O11</f>
        <v>Incineroar</v>
      </c>
    </row>
    <row r="232" spans="2:2" x14ac:dyDescent="0.25">
      <c r="B232" s="2" t="str">
        <f>Resultados!O12</f>
        <v>maushold_family_of_four</v>
      </c>
    </row>
    <row r="233" spans="2:2" x14ac:dyDescent="0.25">
      <c r="B233" s="2" t="str">
        <f>Resultados!O13</f>
        <v>Hatterene</v>
      </c>
    </row>
    <row r="234" spans="2:2" x14ac:dyDescent="0.25">
      <c r="B234" s="2" t="str">
        <f>Resultados!O14</f>
        <v>Floette-Eternal</v>
      </c>
    </row>
    <row r="235" spans="2:2" x14ac:dyDescent="0.25">
      <c r="B235" s="2" t="str">
        <f>Resultados!O15</f>
        <v>Kingambit</v>
      </c>
    </row>
    <row r="236" spans="2:2" x14ac:dyDescent="0.25">
      <c r="B236" s="2" t="str">
        <f>Resultados!O16</f>
        <v>Kingambit</v>
      </c>
    </row>
    <row r="237" spans="2:2" x14ac:dyDescent="0.25">
      <c r="B237" s="2" t="str">
        <f>Resultados!O17</f>
        <v>kommo</v>
      </c>
    </row>
    <row r="238" spans="2:2" x14ac:dyDescent="0.25">
      <c r="B238" s="2">
        <f>Resultados!O18</f>
        <v>0</v>
      </c>
    </row>
    <row r="239" spans="2:2" x14ac:dyDescent="0.25">
      <c r="B239" s="2">
        <f>Resultados!O19</f>
        <v>0</v>
      </c>
    </row>
    <row r="240" spans="2:2" x14ac:dyDescent="0.25">
      <c r="B240" s="2" t="str">
        <f>Resultados!O20</f>
        <v>Basculegion-Male</v>
      </c>
    </row>
    <row r="241" spans="2:2" x14ac:dyDescent="0.25">
      <c r="B241" s="2" t="str">
        <f>Resultados!O21</f>
        <v>Incineroar</v>
      </c>
    </row>
    <row r="242" spans="2:2" x14ac:dyDescent="0.25">
      <c r="B242" s="2" t="str">
        <f>Resultados!O22</f>
        <v>Venusaur</v>
      </c>
    </row>
    <row r="243" spans="2:2" x14ac:dyDescent="0.25">
      <c r="B243" s="2" t="str">
        <f>Resultados!O23</f>
        <v>Dragonite</v>
      </c>
    </row>
    <row r="244" spans="2:2" x14ac:dyDescent="0.25">
      <c r="B244" s="2" t="str">
        <f>Resultados!O24</f>
        <v>Whimsicott</v>
      </c>
    </row>
    <row r="245" spans="2:2" x14ac:dyDescent="0.25">
      <c r="B245" s="2" t="str">
        <f>Resultados!O25</f>
        <v>Sneasler</v>
      </c>
    </row>
    <row r="246" spans="2:2" x14ac:dyDescent="0.25">
      <c r="B246" s="2" t="str">
        <f>Resultados!O26</f>
        <v>Sylveon</v>
      </c>
    </row>
    <row r="247" spans="2:2" x14ac:dyDescent="0.25">
      <c r="B247" s="2" t="str">
        <f>Resultados!O27</f>
        <v>Dragonite</v>
      </c>
    </row>
    <row r="248" spans="2:2" x14ac:dyDescent="0.25">
      <c r="B248" s="2">
        <f>Resultados!O28</f>
        <v>0</v>
      </c>
    </row>
    <row r="249" spans="2:2" x14ac:dyDescent="0.25">
      <c r="B249" s="2">
        <f>Resultados!O29</f>
        <v>0</v>
      </c>
    </row>
    <row r="250" spans="2:2" x14ac:dyDescent="0.25">
      <c r="B250" s="2" t="str">
        <f>Resultados!O30</f>
        <v>Kangaskhan Mega</v>
      </c>
    </row>
    <row r="251" spans="2:2" x14ac:dyDescent="0.25">
      <c r="B251" s="2" t="str">
        <f>Resultados!O31</f>
        <v>Garchomp</v>
      </c>
    </row>
    <row r="252" spans="2:2" x14ac:dyDescent="0.25">
      <c r="B252" s="2" t="str">
        <f>Resultados!O32</f>
        <v>mimikyu-disguised</v>
      </c>
    </row>
    <row r="253" spans="2:2" x14ac:dyDescent="0.25">
      <c r="B253" s="2" t="str">
        <f>Resultados!O33</f>
        <v>Garchomp</v>
      </c>
    </row>
    <row r="254" spans="2:2" x14ac:dyDescent="0.25">
      <c r="B254" s="2" t="str">
        <f>Resultados!O34</f>
        <v>Kingambit</v>
      </c>
    </row>
    <row r="255" spans="2:2" x14ac:dyDescent="0.25">
      <c r="B255" s="2" t="str">
        <f>Resultados!O35</f>
        <v>Garchomp</v>
      </c>
    </row>
    <row r="256" spans="2:2" x14ac:dyDescent="0.25">
      <c r="B256" s="2" t="str">
        <f>Resultados!O36</f>
        <v>Basculegion-Male</v>
      </c>
    </row>
    <row r="257" spans="2:2" x14ac:dyDescent="0.25">
      <c r="B257" s="2" t="str">
        <f>Resultados!O37</f>
        <v>Dragonite</v>
      </c>
    </row>
    <row r="258" spans="2:2" x14ac:dyDescent="0.25">
      <c r="B258" s="2" t="str">
        <f>Resultados!O38</f>
        <v>Basculegion-Male</v>
      </c>
    </row>
    <row r="259" spans="2:2" x14ac:dyDescent="0.25">
      <c r="B259" s="2" t="str">
        <f>Resultados!O39</f>
        <v>Basculegion-Male</v>
      </c>
    </row>
    <row r="260" spans="2:2" x14ac:dyDescent="0.25">
      <c r="B260" s="2" t="str">
        <f>Resultados!O40</f>
        <v>kommo</v>
      </c>
    </row>
    <row r="261" spans="2:2" x14ac:dyDescent="0.25">
      <c r="B261" s="2" t="str">
        <f>Resultados!O41</f>
        <v>Sinitscha</v>
      </c>
    </row>
    <row r="262" spans="2:2" x14ac:dyDescent="0.25">
      <c r="B262" s="2" t="str">
        <f>Resultados!O42</f>
        <v>Torkoal</v>
      </c>
    </row>
    <row r="263" spans="2:2" x14ac:dyDescent="0.25">
      <c r="B263" s="2" t="str">
        <f>Resultados!O43</f>
        <v>Incineroar</v>
      </c>
    </row>
    <row r="264" spans="2:2" x14ac:dyDescent="0.25">
      <c r="B264" s="2" t="str">
        <f>Resultados!O44</f>
        <v>Kingambit</v>
      </c>
    </row>
    <row r="265" spans="2:2" x14ac:dyDescent="0.25">
      <c r="B265" s="2" t="str">
        <f>Resultados!O45</f>
        <v>Basculegion-Male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</vt:lpstr>
      <vt:lpstr>Pokémon Usage</vt:lpstr>
      <vt:lpstr>Hoja3</vt:lpstr>
      <vt:lpstr>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2026-05-12T19:13:19Z</dcterms:created>
  <dcterms:modified xsi:type="dcterms:W3CDTF">2026-05-25T15:36:20Z</dcterms:modified>
  <dc:language>en-US</dc:language>
</cp:coreProperties>
</file>